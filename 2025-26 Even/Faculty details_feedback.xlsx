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lav/Code/StudentFeedbackAnalysis/2025-26 Even/"/>
    </mc:Choice>
  </mc:AlternateContent>
  <xr:revisionPtr revIDLastSave="0" documentId="11_19863609DC92C6BF1359BA5D42D7FEDB3D2ECB43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EC_EVEN" sheetId="6" r:id="rId1"/>
    <sheet name="EC_ODD" sheetId="5" r:id="rId2"/>
    <sheet name="ICT_EVEN" sheetId="7" r:id="rId3"/>
    <sheet name="ICT_ODD" sheetId="2" r:id="rId4"/>
  </sheets>
  <definedNames>
    <definedName name="_xlnm.Print_Area" localSheetId="0">EC_EVEN!$A$1:$AD$29</definedName>
    <definedName name="_xlnm.Print_Area" localSheetId="1">EC_ODD!$A$1:$AD$31</definedName>
    <definedName name="_xlnm.Print_Area" localSheetId="2">ICT_EVEN!$A$1:$G$21</definedName>
    <definedName name="_xlnm.Print_Area" localSheetId="3">ICT_ODD!$A$1:$G$25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7" l="1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H19" i="7"/>
  <c r="G19" i="7"/>
  <c r="H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H19" i="6"/>
  <c r="G19" i="6"/>
  <c r="H11" i="6"/>
  <c r="G11" i="6"/>
  <c r="J35" i="6" l="1"/>
  <c r="J37" i="6"/>
  <c r="AB25" i="2" l="1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H18" i="2"/>
  <c r="G18" i="2"/>
  <c r="AB27" i="5" l="1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H18" i="5"/>
  <c r="G18" i="5"/>
  <c r="H11" i="5"/>
  <c r="G11" i="5"/>
  <c r="H28" i="5" l="1"/>
  <c r="J39" i="5"/>
  <c r="J37" i="5"/>
</calcChain>
</file>

<file path=xl/sharedStrings.xml><?xml version="1.0" encoding="utf-8"?>
<sst xmlns="http://schemas.openxmlformats.org/spreadsheetml/2006/main" count="247" uniqueCount="115">
  <si>
    <t>PATRAK - A</t>
  </si>
  <si>
    <t>Sr.No.</t>
  </si>
  <si>
    <t>Subject Code &amp; Name</t>
  </si>
  <si>
    <t xml:space="preserve">Remarks </t>
  </si>
  <si>
    <t>Name of  the Program</t>
  </si>
  <si>
    <t>Name of the Institute:GOVERNMENT POLYTECHNIC PALANPUR</t>
  </si>
  <si>
    <t>Name of the Departmenrt/Section :E.C.DEPARTMENT</t>
  </si>
  <si>
    <t>SJC</t>
  </si>
  <si>
    <t>MKP</t>
  </si>
  <si>
    <t>LKP</t>
  </si>
  <si>
    <t>RNP</t>
  </si>
  <si>
    <t>MJD</t>
  </si>
  <si>
    <t>RCP</t>
  </si>
  <si>
    <t>NJC</t>
  </si>
  <si>
    <t>SPJ</t>
  </si>
  <si>
    <t>NMP</t>
  </si>
  <si>
    <t>T</t>
  </si>
  <si>
    <t>P</t>
  </si>
  <si>
    <t>Scheme</t>
  </si>
  <si>
    <t>GNA</t>
  </si>
  <si>
    <t xml:space="preserve">D.E. Sem-1 (EC)   </t>
  </si>
  <si>
    <t xml:space="preserve">D.E. Sem-3 (EC)   </t>
  </si>
  <si>
    <t xml:space="preserve">D.E. Sem-5 (EC) </t>
  </si>
  <si>
    <t xml:space="preserve">Total  Work Load of  DE SEM-1   </t>
  </si>
  <si>
    <t>Name of faculty</t>
  </si>
  <si>
    <t xml:space="preserve">D.E. Sem-1 (ICT)   </t>
  </si>
  <si>
    <t>Total  Work Load of  DE SEM-3</t>
  </si>
  <si>
    <t xml:space="preserve">Theory </t>
  </si>
  <si>
    <t>Pract</t>
  </si>
  <si>
    <t xml:space="preserve">D.E. Sem-3 (ICT)   </t>
  </si>
  <si>
    <t>4351102- Embedded system</t>
  </si>
  <si>
    <t>4351104- Mobile &amp; Wireless communication</t>
  </si>
  <si>
    <t>4351107-Electronics and Communication Engineering Project-I</t>
  </si>
  <si>
    <t>4351106-Summer Intership-II</t>
  </si>
  <si>
    <t>Mr. N. J.Chauhan</t>
  </si>
  <si>
    <t>Mr. L.K.Patel</t>
  </si>
  <si>
    <t>Mr. R.N.Patel</t>
  </si>
  <si>
    <t>Mr.M.J.Vadhavaniya</t>
  </si>
  <si>
    <t>Mr.S.P.Joshiara</t>
  </si>
  <si>
    <t>Mr. R.C.Parmar</t>
  </si>
  <si>
    <t>Mr. S. J.Chauhan</t>
  </si>
  <si>
    <t>Ms. M.K.Pedhadiya</t>
  </si>
  <si>
    <t>Mr. M.J.Dabgar</t>
  </si>
  <si>
    <t>DI01000051-Fundamentals of Electronics</t>
  </si>
  <si>
    <t>DI01C00091-Fundamentals of Information and
Communication Technology</t>
  </si>
  <si>
    <t xml:space="preserve">DI01000041-Sports and Yoga </t>
  </si>
  <si>
    <t>DI03000121- Principle of Electronics Communication</t>
  </si>
  <si>
    <t>DI03000131-Computer Networking</t>
  </si>
  <si>
    <t>DI03011021-Applied Electronics</t>
  </si>
  <si>
    <t>DI03011031- Electronics Circuit Network &amp; Measurement</t>
  </si>
  <si>
    <t>DI03000111- Digital Logic Design</t>
  </si>
  <si>
    <t>DI03011011- Programming in C</t>
  </si>
  <si>
    <t>4300021-Enterpreneurship and Startups</t>
  </si>
  <si>
    <t>4351103-Microwave and Radar Communication</t>
  </si>
  <si>
    <t>4351105- Software Practices</t>
  </si>
  <si>
    <t>4351108- OOPS &amp; Python Programming</t>
  </si>
  <si>
    <t>DI01009011- Fundamentals of Electrical Engineering</t>
  </si>
  <si>
    <t>Mr. R.C.Parmar/ Mr. M.J. Dabgar</t>
  </si>
  <si>
    <t>Mr. M.J. Dabgar</t>
  </si>
  <si>
    <t>DI01000091-Fundamentals of Information and
Communication Technology</t>
  </si>
  <si>
    <t>DI01032011- Web Development Practice</t>
  </si>
  <si>
    <t>Mr. S. J Chauhan/Ms. M.K.Pedhadiya/Mr. N. J Chauhan</t>
  </si>
  <si>
    <t>Mr. R.C.Parmar/Mr. M.J.Dabgar</t>
  </si>
  <si>
    <t>Ms. K.A.Patel/Mr.D.J.Modi</t>
  </si>
  <si>
    <t>Total  Work Load of  DE SEM-1</t>
  </si>
  <si>
    <t>DI03032011- System Administration &amp; Practices</t>
  </si>
  <si>
    <t>DI03032031- Data Strusture and Applications</t>
  </si>
  <si>
    <t>DI03032021- JAVA Programming</t>
  </si>
  <si>
    <t>DI03000131- Computer Networking</t>
  </si>
  <si>
    <t>DI03000121- Principles of Electronics Communication</t>
  </si>
  <si>
    <t>4300021-Enterpreneurship and Startup</t>
  </si>
  <si>
    <t>4353201-Wireless Sensor Networks and IOT</t>
  </si>
  <si>
    <t>4353202-Software Engineering</t>
  </si>
  <si>
    <t>4353203-Mobile Application Development</t>
  </si>
  <si>
    <t>4353204-Cyber Security</t>
  </si>
  <si>
    <t>Mr. N. J Chauhan</t>
  </si>
  <si>
    <t>Mr. S. J Chauhan</t>
  </si>
  <si>
    <t xml:space="preserve"> Mr.S.P.Joshiara/ Mr. N. J Chauhan</t>
  </si>
  <si>
    <t>4353205-VLSI Technology</t>
  </si>
  <si>
    <t xml:space="preserve">D.E. Sem-5 (ICT) </t>
  </si>
  <si>
    <t>DI02000051-Environmental Sustainability</t>
  </si>
  <si>
    <t>DI02000141-Integrated Personality Development Course</t>
  </si>
  <si>
    <t>DI02000081-PCB Designing &amp; Electronics Workshop</t>
  </si>
  <si>
    <t>DI02011011-Electronics Circuit and Application</t>
  </si>
  <si>
    <t>DI04000081- Entrepreneurship &amp; Startup</t>
  </si>
  <si>
    <t>DI04000111- Microprocessor &amp; Microcontroller</t>
  </si>
  <si>
    <t>DI04000121- Embedded System</t>
  </si>
  <si>
    <t>DI04000131- Digital &amp; Data Communication</t>
  </si>
  <si>
    <t>DI04011011- Microwave &amp; its Applications</t>
  </si>
  <si>
    <t>DI04011031- Consumer Electronics</t>
  </si>
  <si>
    <t>DI04011041- Python Programming</t>
  </si>
  <si>
    <t>4361101-Computer Networks &amp; Data Communication</t>
  </si>
  <si>
    <t>4361102-VLSI</t>
  </si>
  <si>
    <t>4361103-Electronics &amp; Communication Engineering Project-II</t>
  </si>
  <si>
    <t>4361104-Android App Development</t>
  </si>
  <si>
    <t>4361106-Renewable Energy &amp; Emerging Trends in Electronics(Elective)</t>
  </si>
  <si>
    <t xml:space="preserve">D.E. Sem-6 (EC) </t>
  </si>
  <si>
    <t xml:space="preserve">D.E. Sem-4 (EC)   </t>
  </si>
  <si>
    <t xml:space="preserve">D.E. Sem-2 (EC)   </t>
  </si>
  <si>
    <t>Dr. R.N.Patel</t>
  </si>
  <si>
    <t>Mr. S. P. Joshiara</t>
  </si>
  <si>
    <t>Mr.N.K. Patel/Mr. M.J.Dabgar</t>
  </si>
  <si>
    <t>DI02032011-Python Programming</t>
  </si>
  <si>
    <t xml:space="preserve">D.E. Sem-2 (ICT)   </t>
  </si>
  <si>
    <t xml:space="preserve">D.E. Sem-4 (ICT)   </t>
  </si>
  <si>
    <t xml:space="preserve">D.E. Sem-6 (ICT) </t>
  </si>
  <si>
    <t>DI04032011- Database Management System</t>
  </si>
  <si>
    <t>DI04032021/31 - Advance Java/ Advance Python</t>
  </si>
  <si>
    <t>DI04032041/51 - Web Technologies/ Mobile Application</t>
  </si>
  <si>
    <t>4363201-Internship/Industrial Training</t>
  </si>
  <si>
    <t>Total  Work Load of  DE SEM-2</t>
  </si>
  <si>
    <t>Total  Work Load of  DE SEM-4</t>
  </si>
  <si>
    <t>Total  Work Load of  DE SEM-6</t>
  </si>
  <si>
    <t xml:space="preserve">Mr. M.J.Dabgar/Mr.S.J.Chauhan/Mr. N.K. Patel/ </t>
  </si>
  <si>
    <t>Mr. R.C.Parmar/Mr. N.J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</si>
</sst>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Calibri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6"/>
      <color rgb="FF000000"/>
      <name val="Times New Roman"/>
      <family val="1"/>
    </font>
    <font>
      <sz val="16"/>
      <name val="Calibri"/>
      <family val="2"/>
    </font>
    <font>
      <b/>
      <sz val="16"/>
      <name val="Calibri"/>
      <family val="2"/>
    </font>
    <font>
      <sz val="16"/>
      <color rgb="FF000000"/>
      <name val="Times New Roman"/>
      <family val="1"/>
    </font>
    <font>
      <sz val="20"/>
      <name val="Calibri"/>
      <family val="2"/>
    </font>
    <font>
      <b/>
      <sz val="18"/>
      <color rgb="FF000000"/>
      <name val="Times New Roman"/>
      <family val="1"/>
    </font>
    <font>
      <b/>
      <sz val="20"/>
      <color rgb="FF00000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20"/>
      <color rgb="FFFF0000"/>
      <name val="Calibri"/>
      <family val="2"/>
    </font>
    <font>
      <sz val="11"/>
      <name val="Calibri"/>
      <family val="2"/>
    </font>
    <font>
      <sz val="18"/>
      <color theme="1"/>
      <name val="Times New Roman"/>
      <family val="1"/>
    </font>
    <font>
      <sz val="10"/>
      <color rgb="FF000000"/>
      <name val="Arial"/>
      <family val="2"/>
    </font>
    <font>
      <sz val="14"/>
      <color theme="1"/>
      <name val="Times New Roman"/>
      <family val="1"/>
    </font>
    <font>
      <sz val="1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rgb="FFFDE9D9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9" fillId="0" borderId="0"/>
  </cellStyleXfs>
  <cellXfs count="80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4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0" fillId="5" borderId="1" xfId="0" applyFill="1" applyBorder="1">
      <alignment vertical="center"/>
    </xf>
    <xf numFmtId="0" fontId="18" fillId="7" borderId="1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5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topLeftCell="A8" zoomScale="80" zoomScaleNormal="80" workbookViewId="0">
      <selection activeCell="D21" sqref="D21"/>
    </sheetView>
  </sheetViews>
  <sheetFormatPr baseColWidth="10" defaultColWidth="10" defaultRowHeight="15" x14ac:dyDescent="0.2"/>
  <cols>
    <col min="1" max="2" width="13.5" customWidth="1"/>
    <col min="3" max="3" width="59.6640625" bestFit="1" customWidth="1"/>
    <col min="4" max="4" width="59.6640625" customWidth="1"/>
    <col min="5" max="5" width="13.6640625" hidden="1" customWidth="1"/>
    <col min="6" max="8" width="0" hidden="1" customWidth="1"/>
    <col min="9" max="28" width="8.6640625" hidden="1" customWidth="1"/>
  </cols>
  <sheetData>
    <row r="1" spans="1:28" ht="23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 spans="1:28" ht="25" x14ac:dyDescent="0.2">
      <c r="A2" s="42" t="s">
        <v>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69"/>
    </row>
    <row r="3" spans="1:28" ht="28.5" customHeight="1" x14ac:dyDescent="0.2">
      <c r="A3" s="44" t="s">
        <v>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70"/>
    </row>
    <row r="4" spans="1:28" ht="49.5" customHeight="1" x14ac:dyDescent="0.2">
      <c r="A4" s="39" t="s">
        <v>1</v>
      </c>
      <c r="B4" s="39" t="s">
        <v>4</v>
      </c>
      <c r="C4" s="39" t="s">
        <v>2</v>
      </c>
      <c r="D4" s="39" t="s">
        <v>24</v>
      </c>
      <c r="E4" s="71" t="s">
        <v>3</v>
      </c>
      <c r="F4" s="6"/>
      <c r="G4" s="73" t="s">
        <v>18</v>
      </c>
      <c r="H4" s="74"/>
      <c r="I4" s="77" t="s">
        <v>24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1:28" s="10" customFormat="1" ht="75.75" customHeight="1" x14ac:dyDescent="0.2">
      <c r="A5" s="40"/>
      <c r="B5" s="40"/>
      <c r="C5" s="40"/>
      <c r="D5" s="40"/>
      <c r="E5" s="72"/>
      <c r="F5" s="9"/>
      <c r="G5" s="75"/>
      <c r="H5" s="76"/>
      <c r="I5" s="63" t="s">
        <v>7</v>
      </c>
      <c r="J5" s="64"/>
      <c r="K5" s="63" t="s">
        <v>19</v>
      </c>
      <c r="L5" s="64"/>
      <c r="M5" s="63" t="s">
        <v>8</v>
      </c>
      <c r="N5" s="64"/>
      <c r="O5" s="63" t="s">
        <v>9</v>
      </c>
      <c r="P5" s="64"/>
      <c r="Q5" s="63" t="s">
        <v>15</v>
      </c>
      <c r="R5" s="64"/>
      <c r="S5" s="63" t="s">
        <v>10</v>
      </c>
      <c r="T5" s="64"/>
      <c r="U5" s="63" t="s">
        <v>11</v>
      </c>
      <c r="V5" s="64"/>
      <c r="W5" s="63" t="s">
        <v>12</v>
      </c>
      <c r="X5" s="64"/>
      <c r="Y5" s="63" t="s">
        <v>14</v>
      </c>
      <c r="Z5" s="64"/>
      <c r="AA5" s="63" t="s">
        <v>13</v>
      </c>
      <c r="AB5" s="64"/>
    </row>
    <row r="6" spans="1:28" s="8" customFormat="1" ht="21" x14ac:dyDescent="0.2">
      <c r="A6" s="11">
        <v>1</v>
      </c>
      <c r="B6" s="11">
        <v>2</v>
      </c>
      <c r="C6" s="11">
        <v>3</v>
      </c>
      <c r="D6" s="11"/>
      <c r="E6" s="11">
        <v>16</v>
      </c>
      <c r="F6" s="18"/>
      <c r="G6" s="18" t="s">
        <v>16</v>
      </c>
      <c r="H6" s="18" t="s">
        <v>17</v>
      </c>
      <c r="I6" s="18" t="s">
        <v>16</v>
      </c>
      <c r="J6" s="18" t="s">
        <v>17</v>
      </c>
      <c r="K6" s="18" t="s">
        <v>16</v>
      </c>
      <c r="L6" s="18" t="s">
        <v>17</v>
      </c>
      <c r="M6" s="18" t="s">
        <v>16</v>
      </c>
      <c r="N6" s="18" t="s">
        <v>17</v>
      </c>
      <c r="O6" s="18" t="s">
        <v>16</v>
      </c>
      <c r="P6" s="18" t="s">
        <v>17</v>
      </c>
      <c r="Q6" s="18" t="s">
        <v>16</v>
      </c>
      <c r="R6" s="18" t="s">
        <v>17</v>
      </c>
      <c r="S6" s="18" t="s">
        <v>16</v>
      </c>
      <c r="T6" s="18" t="s">
        <v>17</v>
      </c>
      <c r="U6" s="18" t="s">
        <v>16</v>
      </c>
      <c r="V6" s="18" t="s">
        <v>17</v>
      </c>
      <c r="W6" s="18" t="s">
        <v>16</v>
      </c>
      <c r="X6" s="18" t="s">
        <v>17</v>
      </c>
      <c r="Y6" s="18" t="s">
        <v>16</v>
      </c>
      <c r="Z6" s="18" t="s">
        <v>17</v>
      </c>
      <c r="AA6" s="18" t="s">
        <v>16</v>
      </c>
      <c r="AB6" s="18" t="s">
        <v>17</v>
      </c>
    </row>
    <row r="7" spans="1:28" s="8" customFormat="1" ht="36.75" customHeight="1" x14ac:dyDescent="0.2">
      <c r="A7" s="65">
        <v>1</v>
      </c>
      <c r="B7" s="67" t="s">
        <v>98</v>
      </c>
      <c r="C7" s="37" t="s">
        <v>80</v>
      </c>
      <c r="D7" s="27" t="s">
        <v>99</v>
      </c>
      <c r="E7" s="2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30"/>
      <c r="T7" s="18"/>
      <c r="U7" s="18"/>
      <c r="V7" s="18"/>
      <c r="W7" s="18"/>
      <c r="X7" s="30"/>
      <c r="Y7" s="18"/>
      <c r="Z7" s="30"/>
      <c r="AA7" s="18"/>
      <c r="AB7" s="18"/>
    </row>
    <row r="8" spans="1:28" ht="42" customHeight="1" x14ac:dyDescent="0.2">
      <c r="A8" s="66"/>
      <c r="B8" s="67"/>
      <c r="C8" s="37" t="s">
        <v>81</v>
      </c>
      <c r="D8" s="27" t="s">
        <v>101</v>
      </c>
      <c r="E8" s="57"/>
      <c r="F8" s="7"/>
      <c r="G8" s="14">
        <v>0</v>
      </c>
      <c r="H8" s="14">
        <v>8</v>
      </c>
      <c r="I8" s="21"/>
      <c r="J8" s="21"/>
      <c r="K8" s="21"/>
      <c r="L8" s="21">
        <v>2</v>
      </c>
      <c r="M8" s="21"/>
      <c r="N8" s="21"/>
      <c r="O8" s="21"/>
      <c r="P8" s="21"/>
      <c r="Q8" s="21"/>
      <c r="R8" s="21"/>
      <c r="S8" s="22"/>
      <c r="T8" s="21">
        <v>4</v>
      </c>
      <c r="U8" s="21"/>
      <c r="V8" s="21"/>
      <c r="W8" s="21"/>
      <c r="X8" s="22">
        <v>2</v>
      </c>
      <c r="Y8" s="21"/>
      <c r="Z8" s="22"/>
      <c r="AA8" s="21"/>
      <c r="AB8" s="21"/>
    </row>
    <row r="9" spans="1:28" ht="39.75" customHeight="1" x14ac:dyDescent="0.2">
      <c r="A9" s="66"/>
      <c r="B9" s="67"/>
      <c r="C9" s="37" t="s">
        <v>82</v>
      </c>
      <c r="D9" s="27" t="s">
        <v>100</v>
      </c>
      <c r="E9" s="58"/>
      <c r="F9" s="7"/>
      <c r="G9" s="14">
        <v>3</v>
      </c>
      <c r="H9" s="14">
        <v>4</v>
      </c>
      <c r="I9" s="21"/>
      <c r="J9" s="21"/>
      <c r="K9" s="21"/>
      <c r="L9" s="21"/>
      <c r="M9" s="21">
        <v>3</v>
      </c>
      <c r="N9" s="21">
        <v>4</v>
      </c>
      <c r="O9" s="21"/>
      <c r="P9" s="21"/>
      <c r="Q9" s="21"/>
      <c r="R9" s="21"/>
      <c r="S9" s="22"/>
      <c r="T9" s="21"/>
      <c r="U9" s="21"/>
      <c r="V9" s="21"/>
      <c r="W9" s="21"/>
      <c r="X9" s="22"/>
      <c r="Y9" s="21"/>
      <c r="Z9" s="22"/>
      <c r="AA9" s="21"/>
      <c r="AB9" s="21"/>
    </row>
    <row r="10" spans="1:28" ht="48" customHeight="1" x14ac:dyDescent="0.2">
      <c r="A10" s="66"/>
      <c r="B10" s="67"/>
      <c r="C10" s="37" t="s">
        <v>83</v>
      </c>
      <c r="D10" s="27" t="s">
        <v>39</v>
      </c>
      <c r="E10" s="58"/>
      <c r="F10" s="7"/>
      <c r="G10" s="14">
        <v>0</v>
      </c>
      <c r="H10" s="14">
        <v>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  <c r="T10" s="21"/>
      <c r="U10" s="21"/>
      <c r="V10" s="21">
        <v>8</v>
      </c>
      <c r="W10" s="21"/>
      <c r="X10" s="22"/>
      <c r="Y10" s="21"/>
      <c r="Z10" s="22"/>
      <c r="AA10" s="21"/>
      <c r="AB10" s="21"/>
    </row>
    <row r="11" spans="1:28" ht="26" x14ac:dyDescent="0.2">
      <c r="A11" s="55" t="s">
        <v>23</v>
      </c>
      <c r="B11" s="56"/>
      <c r="C11" s="56"/>
      <c r="D11" s="56"/>
      <c r="E11" s="12"/>
      <c r="F11" s="7"/>
      <c r="G11" s="14">
        <f>SUM(G8:G10)</f>
        <v>3</v>
      </c>
      <c r="H11" s="14">
        <f>SUM(H8:H10)</f>
        <v>20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4"/>
      <c r="U11" s="14"/>
      <c r="V11" s="14"/>
      <c r="W11" s="14"/>
      <c r="X11" s="15"/>
      <c r="Y11" s="14"/>
      <c r="Z11" s="15"/>
      <c r="AA11" s="14"/>
      <c r="AB11" s="14"/>
    </row>
    <row r="12" spans="1:28" ht="21" customHeight="1" x14ac:dyDescent="0.2">
      <c r="A12" s="49">
        <v>2</v>
      </c>
      <c r="B12" s="52" t="s">
        <v>97</v>
      </c>
      <c r="C12" s="38" t="s">
        <v>84</v>
      </c>
      <c r="D12" s="27" t="s">
        <v>100</v>
      </c>
      <c r="E12" s="57"/>
      <c r="F12" s="7"/>
      <c r="G12" s="14">
        <v>3</v>
      </c>
      <c r="H12" s="14">
        <v>2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>
        <v>3</v>
      </c>
      <c r="T12" s="21">
        <v>2</v>
      </c>
      <c r="U12" s="21"/>
      <c r="V12" s="21"/>
      <c r="W12" s="21"/>
      <c r="X12" s="22"/>
      <c r="Y12" s="21"/>
      <c r="Z12" s="22"/>
      <c r="AA12" s="21"/>
      <c r="AB12" s="21"/>
    </row>
    <row r="13" spans="1:28" ht="26" x14ac:dyDescent="0.2">
      <c r="A13" s="50"/>
      <c r="B13" s="53"/>
      <c r="C13" s="38" t="s">
        <v>85</v>
      </c>
      <c r="D13" s="27" t="s">
        <v>34</v>
      </c>
      <c r="E13" s="58"/>
      <c r="F13" s="7"/>
      <c r="G13" s="14">
        <v>3</v>
      </c>
      <c r="H13" s="14">
        <v>2</v>
      </c>
      <c r="I13" s="21"/>
      <c r="J13" s="21"/>
      <c r="K13" s="21">
        <v>1</v>
      </c>
      <c r="L13" s="21"/>
      <c r="M13" s="21"/>
      <c r="N13" s="21"/>
      <c r="O13" s="21"/>
      <c r="P13" s="21"/>
      <c r="Q13" s="21"/>
      <c r="R13" s="21"/>
      <c r="S13" s="22"/>
      <c r="T13" s="21"/>
      <c r="U13" s="21"/>
      <c r="V13" s="21"/>
      <c r="W13" s="21"/>
      <c r="X13" s="22"/>
      <c r="Y13" s="21">
        <v>2</v>
      </c>
      <c r="Z13" s="21">
        <v>2</v>
      </c>
      <c r="AA13" s="21"/>
      <c r="AB13" s="21"/>
    </row>
    <row r="14" spans="1:28" ht="26" x14ac:dyDescent="0.2">
      <c r="A14" s="50"/>
      <c r="B14" s="53"/>
      <c r="C14" s="38" t="s">
        <v>86</v>
      </c>
      <c r="D14" s="27" t="s">
        <v>41</v>
      </c>
      <c r="E14" s="58"/>
      <c r="F14" s="7"/>
      <c r="G14" s="14">
        <v>3</v>
      </c>
      <c r="H14" s="14">
        <v>2</v>
      </c>
      <c r="I14" s="21"/>
      <c r="J14" s="21"/>
      <c r="K14" s="21"/>
      <c r="L14" s="21"/>
      <c r="M14" s="21"/>
      <c r="N14" s="21"/>
      <c r="Q14" s="21"/>
      <c r="R14" s="21"/>
      <c r="S14" s="22"/>
      <c r="T14" s="21"/>
      <c r="U14" s="21"/>
      <c r="V14" s="21"/>
      <c r="W14" s="21">
        <v>3</v>
      </c>
      <c r="X14" s="21">
        <v>2</v>
      </c>
      <c r="Y14" s="21"/>
      <c r="Z14" s="22"/>
      <c r="AA14" s="21"/>
      <c r="AB14" s="21"/>
    </row>
    <row r="15" spans="1:28" ht="26" x14ac:dyDescent="0.2">
      <c r="A15" s="50"/>
      <c r="B15" s="53"/>
      <c r="C15" s="38" t="s">
        <v>87</v>
      </c>
      <c r="D15" s="27" t="s">
        <v>36</v>
      </c>
      <c r="E15" s="58"/>
      <c r="F15" s="7"/>
      <c r="G15" s="14">
        <v>3</v>
      </c>
      <c r="H15" s="14">
        <v>2</v>
      </c>
      <c r="I15" s="21">
        <v>3</v>
      </c>
      <c r="J15" s="21">
        <v>2</v>
      </c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21"/>
      <c r="W15" s="21"/>
      <c r="X15" s="22"/>
      <c r="Y15" s="21"/>
      <c r="Z15" s="22"/>
      <c r="AA15" s="21"/>
      <c r="AB15" s="21"/>
    </row>
    <row r="16" spans="1:28" ht="26" x14ac:dyDescent="0.2">
      <c r="A16" s="50"/>
      <c r="B16" s="53"/>
      <c r="C16" s="38" t="s">
        <v>88</v>
      </c>
      <c r="D16" s="27" t="s">
        <v>39</v>
      </c>
      <c r="E16" s="59"/>
      <c r="F16" s="7"/>
      <c r="G16" s="14">
        <v>2</v>
      </c>
      <c r="H16" s="14">
        <v>2</v>
      </c>
      <c r="I16" s="21"/>
      <c r="J16" s="21"/>
      <c r="K16" s="21"/>
      <c r="L16" s="21"/>
      <c r="M16" s="21">
        <v>2</v>
      </c>
      <c r="N16" s="21">
        <v>2</v>
      </c>
      <c r="O16" s="21"/>
      <c r="P16" s="21"/>
      <c r="Q16" s="21"/>
      <c r="R16" s="21"/>
      <c r="S16" s="22"/>
      <c r="T16" s="21"/>
      <c r="U16" s="21"/>
      <c r="V16" s="21"/>
      <c r="W16" s="21"/>
      <c r="X16" s="22"/>
      <c r="Y16" s="21"/>
      <c r="Z16" s="22"/>
      <c r="AA16" s="21"/>
      <c r="AB16" s="21"/>
    </row>
    <row r="17" spans="1:28" ht="26" x14ac:dyDescent="0.2">
      <c r="A17" s="50"/>
      <c r="B17" s="53"/>
      <c r="C17" s="38" t="s">
        <v>89</v>
      </c>
      <c r="D17" s="27" t="s">
        <v>76</v>
      </c>
      <c r="E17" s="29"/>
      <c r="F17" s="7"/>
      <c r="G17" s="14"/>
      <c r="H17" s="1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1"/>
      <c r="U17" s="21"/>
      <c r="V17" s="21"/>
      <c r="W17" s="21"/>
      <c r="X17" s="22"/>
      <c r="Y17" s="21"/>
      <c r="Z17" s="22"/>
      <c r="AA17" s="21"/>
      <c r="AB17" s="21"/>
    </row>
    <row r="18" spans="1:28" ht="26" x14ac:dyDescent="0.2">
      <c r="A18" s="51"/>
      <c r="B18" s="54"/>
      <c r="C18" s="38" t="s">
        <v>90</v>
      </c>
      <c r="D18" s="27" t="s">
        <v>35</v>
      </c>
      <c r="E18" s="29"/>
      <c r="F18" s="7"/>
      <c r="G18" s="14"/>
      <c r="H18" s="1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21"/>
      <c r="U18" s="21"/>
      <c r="V18" s="21"/>
      <c r="W18" s="21"/>
      <c r="X18" s="22"/>
      <c r="Y18" s="21"/>
      <c r="Z18" s="22"/>
      <c r="AA18" s="21"/>
      <c r="AB18" s="21"/>
    </row>
    <row r="19" spans="1:28" ht="26" x14ac:dyDescent="0.2">
      <c r="A19" s="55" t="s">
        <v>26</v>
      </c>
      <c r="B19" s="56"/>
      <c r="C19" s="56"/>
      <c r="D19" s="56"/>
      <c r="E19" s="13"/>
      <c r="F19" s="7"/>
      <c r="G19" s="14">
        <f>SUM(G12:G16)</f>
        <v>14</v>
      </c>
      <c r="H19" s="14">
        <f>SUM(H12:H16)</f>
        <v>10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14"/>
      <c r="U19" s="14"/>
      <c r="V19" s="14"/>
      <c r="W19" s="14"/>
      <c r="X19" s="15"/>
      <c r="Y19" s="14"/>
      <c r="Z19" s="15"/>
      <c r="AA19" s="14"/>
      <c r="AB19" s="14"/>
    </row>
    <row r="20" spans="1:28" ht="26.25" customHeight="1" x14ac:dyDescent="0.2">
      <c r="A20" s="49">
        <v>3</v>
      </c>
      <c r="B20" s="52" t="s">
        <v>96</v>
      </c>
      <c r="C20" s="38" t="s">
        <v>91</v>
      </c>
      <c r="D20" s="27" t="s">
        <v>100</v>
      </c>
      <c r="E20" s="57"/>
      <c r="F20" s="7"/>
      <c r="G20" s="14">
        <v>4</v>
      </c>
      <c r="H20" s="14">
        <v>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3"/>
      <c r="U20" s="23"/>
      <c r="V20" s="23"/>
      <c r="W20" s="23"/>
      <c r="X20" s="24"/>
      <c r="Y20" s="23"/>
      <c r="Z20" s="24"/>
      <c r="AA20" s="23">
        <v>4</v>
      </c>
      <c r="AB20" s="23">
        <v>2</v>
      </c>
    </row>
    <row r="21" spans="1:28" ht="26" x14ac:dyDescent="0.2">
      <c r="A21" s="50"/>
      <c r="B21" s="53"/>
      <c r="C21" s="38" t="s">
        <v>92</v>
      </c>
      <c r="D21" s="27" t="s">
        <v>41</v>
      </c>
      <c r="E21" s="58"/>
      <c r="F21" s="7"/>
      <c r="G21" s="14">
        <v>4</v>
      </c>
      <c r="H21" s="14">
        <v>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3"/>
      <c r="U21" s="23"/>
      <c r="V21" s="23"/>
      <c r="W21" s="23"/>
      <c r="X21" s="24"/>
      <c r="Y21" s="23">
        <v>4</v>
      </c>
      <c r="Z21" s="24">
        <v>2</v>
      </c>
      <c r="AA21" s="23"/>
      <c r="AB21" s="23"/>
    </row>
    <row r="22" spans="1:28" ht="42" x14ac:dyDescent="0.2">
      <c r="A22" s="50"/>
      <c r="B22" s="53"/>
      <c r="C22" s="38" t="s">
        <v>93</v>
      </c>
      <c r="D22" s="27" t="s">
        <v>42</v>
      </c>
      <c r="E22" s="58"/>
      <c r="F22" s="7"/>
      <c r="G22" s="14"/>
      <c r="H22" s="1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3"/>
      <c r="U22" s="23"/>
      <c r="V22" s="23"/>
      <c r="W22" s="23"/>
      <c r="X22" s="24"/>
      <c r="Y22" s="23"/>
      <c r="Z22" s="24"/>
      <c r="AA22" s="23"/>
      <c r="AB22" s="23"/>
    </row>
    <row r="23" spans="1:28" ht="26" x14ac:dyDescent="0.2">
      <c r="A23" s="50"/>
      <c r="B23" s="53"/>
      <c r="C23" s="38" t="s">
        <v>94</v>
      </c>
      <c r="D23" s="27" t="s">
        <v>42</v>
      </c>
      <c r="E23" s="58"/>
      <c r="F23" s="7"/>
      <c r="G23" s="14">
        <v>4</v>
      </c>
      <c r="H23" s="14">
        <v>2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3"/>
      <c r="U23" s="23"/>
      <c r="V23" s="23"/>
      <c r="W23" s="23">
        <v>4</v>
      </c>
      <c r="X23" s="24">
        <v>2</v>
      </c>
      <c r="Y23" s="23"/>
      <c r="Z23" s="24"/>
      <c r="AA23" s="23"/>
      <c r="AB23" s="23"/>
    </row>
    <row r="24" spans="1:28" ht="42" x14ac:dyDescent="0.2">
      <c r="A24" s="50"/>
      <c r="B24" s="53"/>
      <c r="C24" s="38" t="s">
        <v>95</v>
      </c>
      <c r="D24" s="27" t="s">
        <v>34</v>
      </c>
      <c r="E24" s="58"/>
      <c r="F24" s="7"/>
      <c r="G24" s="14">
        <v>0</v>
      </c>
      <c r="H24" s="14">
        <v>2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3">
        <v>2</v>
      </c>
      <c r="U24" s="23"/>
      <c r="V24" s="23"/>
      <c r="W24" s="23"/>
      <c r="X24" s="24"/>
      <c r="Y24" s="23"/>
      <c r="Z24" s="24"/>
      <c r="AA24" s="23"/>
      <c r="AB24" s="23"/>
    </row>
    <row r="25" spans="1:28" ht="26" x14ac:dyDescent="0.2">
      <c r="A25" s="60"/>
      <c r="B25" s="61"/>
      <c r="C25" s="61"/>
      <c r="D25" s="61"/>
      <c r="E25" s="59"/>
      <c r="F25" s="7"/>
      <c r="G25" s="14">
        <f>SUM(G20:G24)</f>
        <v>12</v>
      </c>
      <c r="H25" s="14">
        <f>SUM(H20:H24)</f>
        <v>8</v>
      </c>
      <c r="I25" s="20">
        <f t="shared" ref="I25:AB25" si="0">SUM(I8:I24)</f>
        <v>3</v>
      </c>
      <c r="J25" s="19">
        <f t="shared" si="0"/>
        <v>2</v>
      </c>
      <c r="K25" s="20">
        <f t="shared" si="0"/>
        <v>1</v>
      </c>
      <c r="L25" s="19">
        <f t="shared" si="0"/>
        <v>2</v>
      </c>
      <c r="M25" s="20">
        <f t="shared" si="0"/>
        <v>5</v>
      </c>
      <c r="N25" s="19">
        <f t="shared" si="0"/>
        <v>6</v>
      </c>
      <c r="O25" s="20">
        <f t="shared" si="0"/>
        <v>0</v>
      </c>
      <c r="P25" s="19">
        <f t="shared" si="0"/>
        <v>0</v>
      </c>
      <c r="Q25" s="20">
        <f t="shared" si="0"/>
        <v>0</v>
      </c>
      <c r="R25" s="19">
        <f t="shared" si="0"/>
        <v>0</v>
      </c>
      <c r="S25" s="20">
        <f t="shared" si="0"/>
        <v>3</v>
      </c>
      <c r="T25" s="19">
        <f t="shared" si="0"/>
        <v>8</v>
      </c>
      <c r="U25" s="20">
        <f t="shared" si="0"/>
        <v>0</v>
      </c>
      <c r="V25" s="19">
        <f t="shared" si="0"/>
        <v>8</v>
      </c>
      <c r="W25" s="20">
        <f t="shared" si="0"/>
        <v>7</v>
      </c>
      <c r="X25" s="19">
        <f t="shared" si="0"/>
        <v>6</v>
      </c>
      <c r="Y25" s="20">
        <f t="shared" si="0"/>
        <v>6</v>
      </c>
      <c r="Z25" s="19">
        <f t="shared" si="0"/>
        <v>4</v>
      </c>
      <c r="AA25" s="20">
        <f t="shared" si="0"/>
        <v>4</v>
      </c>
      <c r="AB25" s="19">
        <f t="shared" si="0"/>
        <v>2</v>
      </c>
    </row>
    <row r="26" spans="1:28" ht="27.75" customHeight="1" x14ac:dyDescent="0.2">
      <c r="A26" s="1"/>
      <c r="B26" s="1"/>
      <c r="C26" s="1"/>
      <c r="D26" s="1"/>
      <c r="E26" s="2"/>
      <c r="F26" s="16"/>
      <c r="G26" s="16"/>
      <c r="H26" s="14" t="e">
        <f>SUM(#REF!)</f>
        <v>#REF!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6"/>
      <c r="AA26" s="16"/>
      <c r="AB26" s="16"/>
    </row>
    <row r="27" spans="1:28" x14ac:dyDescent="0.2">
      <c r="A27" s="3"/>
      <c r="B27" s="3"/>
      <c r="C27" s="3"/>
      <c r="D27" s="3"/>
    </row>
    <row r="28" spans="1:28" x14ac:dyDescent="0.2">
      <c r="A28" s="3"/>
      <c r="B28" s="4"/>
      <c r="C28" s="4"/>
      <c r="D28" s="4"/>
      <c r="E28" s="3"/>
    </row>
    <row r="29" spans="1:28" x14ac:dyDescent="0.2">
      <c r="A29" s="5"/>
      <c r="E29" s="3"/>
    </row>
    <row r="30" spans="1:28" ht="15" customHeight="1" x14ac:dyDescent="0.2">
      <c r="A30" s="4"/>
      <c r="B30" s="3"/>
      <c r="C30" s="3"/>
      <c r="D30" s="3"/>
      <c r="E30" s="62"/>
    </row>
    <row r="31" spans="1:28" ht="15" customHeight="1" x14ac:dyDescent="0.2">
      <c r="A31" s="3"/>
      <c r="B31" s="3"/>
      <c r="C31" s="3"/>
      <c r="D31" s="3"/>
      <c r="E31" s="62"/>
    </row>
    <row r="35" spans="9:10" x14ac:dyDescent="0.2">
      <c r="I35" s="25" t="s">
        <v>27</v>
      </c>
      <c r="J35">
        <f>SUM(I25+K25+M25+O25+Q25+S25+U25+W25+Y25+AA25)</f>
        <v>29</v>
      </c>
    </row>
    <row r="37" spans="9:10" x14ac:dyDescent="0.2">
      <c r="I37" s="25" t="s">
        <v>28</v>
      </c>
      <c r="J37">
        <f>SUM(J25+L25+N25+P25+R25+T25+V25+X25+Z25+AB25)</f>
        <v>38</v>
      </c>
    </row>
  </sheetData>
  <mergeCells count="33">
    <mergeCell ref="A1:AB1"/>
    <mergeCell ref="A2:AB2"/>
    <mergeCell ref="A3:AB3"/>
    <mergeCell ref="A4:A5"/>
    <mergeCell ref="B4:B5"/>
    <mergeCell ref="C4:C5"/>
    <mergeCell ref="D4:D5"/>
    <mergeCell ref="E4:E5"/>
    <mergeCell ref="G4:H5"/>
    <mergeCell ref="I4:AB4"/>
    <mergeCell ref="U5:V5"/>
    <mergeCell ref="W5:X5"/>
    <mergeCell ref="Y5:Z5"/>
    <mergeCell ref="AA5:AB5"/>
    <mergeCell ref="A7:A10"/>
    <mergeCell ref="B7:B10"/>
    <mergeCell ref="E8:E10"/>
    <mergeCell ref="I5:J5"/>
    <mergeCell ref="K5:L5"/>
    <mergeCell ref="M5:N5"/>
    <mergeCell ref="O5:P5"/>
    <mergeCell ref="Q5:R5"/>
    <mergeCell ref="S5:T5"/>
    <mergeCell ref="E30:E31"/>
    <mergeCell ref="A11:D11"/>
    <mergeCell ref="A12:A18"/>
    <mergeCell ref="B12:B18"/>
    <mergeCell ref="E12:E16"/>
    <mergeCell ref="A19:D19"/>
    <mergeCell ref="A20:A24"/>
    <mergeCell ref="B20:B24"/>
    <mergeCell ref="E20:E25"/>
    <mergeCell ref="A25:D25"/>
  </mergeCells>
  <pageMargins left="0.19" right="0" top="0.32" bottom="0.28999999999999998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9"/>
  <sheetViews>
    <sheetView topLeftCell="A10" zoomScale="80" zoomScaleNormal="80" workbookViewId="0">
      <selection activeCell="D28" sqref="D28"/>
    </sheetView>
  </sheetViews>
  <sheetFormatPr baseColWidth="10" defaultColWidth="10" defaultRowHeight="15" x14ac:dyDescent="0.2"/>
  <cols>
    <col min="1" max="2" width="13.5" customWidth="1"/>
    <col min="3" max="3" width="59.6640625" bestFit="1" customWidth="1"/>
    <col min="4" max="4" width="59.6640625" customWidth="1"/>
    <col min="5" max="5" width="13.6640625" hidden="1" customWidth="1"/>
    <col min="6" max="8" width="0" hidden="1" customWidth="1"/>
    <col min="9" max="28" width="8.6640625" hidden="1" customWidth="1"/>
  </cols>
  <sheetData>
    <row r="1" spans="1:28" ht="23" x14ac:dyDescent="0.2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</row>
    <row r="2" spans="1:28" ht="25" x14ac:dyDescent="0.2">
      <c r="A2" s="42" t="s">
        <v>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69"/>
    </row>
    <row r="3" spans="1:28" ht="28.5" customHeight="1" x14ac:dyDescent="0.2">
      <c r="A3" s="44" t="s">
        <v>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70"/>
    </row>
    <row r="4" spans="1:28" ht="49.5" customHeight="1" x14ac:dyDescent="0.2">
      <c r="A4" s="39" t="s">
        <v>1</v>
      </c>
      <c r="B4" s="39" t="s">
        <v>4</v>
      </c>
      <c r="C4" s="39" t="s">
        <v>2</v>
      </c>
      <c r="D4" s="39" t="s">
        <v>24</v>
      </c>
      <c r="E4" s="71" t="s">
        <v>3</v>
      </c>
      <c r="F4" s="6"/>
      <c r="G4" s="73" t="s">
        <v>18</v>
      </c>
      <c r="H4" s="74"/>
      <c r="I4" s="77" t="s">
        <v>24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1:28" s="10" customFormat="1" ht="75.75" customHeight="1" x14ac:dyDescent="0.2">
      <c r="A5" s="40"/>
      <c r="B5" s="40"/>
      <c r="C5" s="40"/>
      <c r="D5" s="40"/>
      <c r="E5" s="72"/>
      <c r="F5" s="9"/>
      <c r="G5" s="75"/>
      <c r="H5" s="76"/>
      <c r="I5" s="63" t="s">
        <v>7</v>
      </c>
      <c r="J5" s="64"/>
      <c r="K5" s="63" t="s">
        <v>19</v>
      </c>
      <c r="L5" s="64"/>
      <c r="M5" s="63" t="s">
        <v>8</v>
      </c>
      <c r="N5" s="64"/>
      <c r="O5" s="63" t="s">
        <v>9</v>
      </c>
      <c r="P5" s="64"/>
      <c r="Q5" s="63" t="s">
        <v>15</v>
      </c>
      <c r="R5" s="64"/>
      <c r="S5" s="63" t="s">
        <v>10</v>
      </c>
      <c r="T5" s="64"/>
      <c r="U5" s="63" t="s">
        <v>11</v>
      </c>
      <c r="V5" s="64"/>
      <c r="W5" s="63" t="s">
        <v>12</v>
      </c>
      <c r="X5" s="64"/>
      <c r="Y5" s="63" t="s">
        <v>14</v>
      </c>
      <c r="Z5" s="64"/>
      <c r="AA5" s="63" t="s">
        <v>13</v>
      </c>
      <c r="AB5" s="64"/>
    </row>
    <row r="6" spans="1:28" s="8" customFormat="1" ht="21" x14ac:dyDescent="0.2">
      <c r="A6" s="11">
        <v>1</v>
      </c>
      <c r="B6" s="11">
        <v>2</v>
      </c>
      <c r="C6" s="11">
        <v>3</v>
      </c>
      <c r="D6" s="11"/>
      <c r="E6" s="11">
        <v>16</v>
      </c>
      <c r="F6" s="18"/>
      <c r="G6" s="18" t="s">
        <v>16</v>
      </c>
      <c r="H6" s="18" t="s">
        <v>17</v>
      </c>
      <c r="I6" s="18" t="s">
        <v>16</v>
      </c>
      <c r="J6" s="18" t="s">
        <v>17</v>
      </c>
      <c r="K6" s="18" t="s">
        <v>16</v>
      </c>
      <c r="L6" s="18" t="s">
        <v>17</v>
      </c>
      <c r="M6" s="18" t="s">
        <v>16</v>
      </c>
      <c r="N6" s="18" t="s">
        <v>17</v>
      </c>
      <c r="O6" s="18" t="s">
        <v>16</v>
      </c>
      <c r="P6" s="18" t="s">
        <v>17</v>
      </c>
      <c r="Q6" s="18" t="s">
        <v>16</v>
      </c>
      <c r="R6" s="18" t="s">
        <v>17</v>
      </c>
      <c r="S6" s="18" t="s">
        <v>16</v>
      </c>
      <c r="T6" s="18" t="s">
        <v>17</v>
      </c>
      <c r="U6" s="18" t="s">
        <v>16</v>
      </c>
      <c r="V6" s="18" t="s">
        <v>17</v>
      </c>
      <c r="W6" s="18" t="s">
        <v>16</v>
      </c>
      <c r="X6" s="18" t="s">
        <v>17</v>
      </c>
      <c r="Y6" s="18" t="s">
        <v>16</v>
      </c>
      <c r="Z6" s="18" t="s">
        <v>17</v>
      </c>
      <c r="AA6" s="18" t="s">
        <v>16</v>
      </c>
      <c r="AB6" s="18" t="s">
        <v>17</v>
      </c>
    </row>
    <row r="7" spans="1:28" s="8" customFormat="1" ht="36.75" customHeight="1" x14ac:dyDescent="0.2">
      <c r="A7" s="65">
        <v>1</v>
      </c>
      <c r="B7" s="67" t="s">
        <v>20</v>
      </c>
      <c r="C7" s="27" t="s">
        <v>43</v>
      </c>
      <c r="D7" s="27" t="s">
        <v>36</v>
      </c>
      <c r="E7" s="2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30"/>
      <c r="T7" s="18"/>
      <c r="U7" s="18"/>
      <c r="V7" s="18"/>
      <c r="W7" s="18"/>
      <c r="X7" s="30"/>
      <c r="Y7" s="18"/>
      <c r="Z7" s="30"/>
      <c r="AA7" s="18"/>
      <c r="AB7" s="18"/>
    </row>
    <row r="8" spans="1:28" ht="42" customHeight="1" x14ac:dyDescent="0.2">
      <c r="A8" s="66"/>
      <c r="B8" s="67"/>
      <c r="C8" s="27" t="s">
        <v>44</v>
      </c>
      <c r="D8" s="27" t="s">
        <v>38</v>
      </c>
      <c r="E8" s="57"/>
      <c r="F8" s="7"/>
      <c r="G8" s="14">
        <v>0</v>
      </c>
      <c r="H8" s="14">
        <v>8</v>
      </c>
      <c r="I8" s="21"/>
      <c r="J8" s="21"/>
      <c r="K8" s="21"/>
      <c r="L8" s="21">
        <v>2</v>
      </c>
      <c r="M8" s="21"/>
      <c r="N8" s="21"/>
      <c r="O8" s="21"/>
      <c r="P8" s="21"/>
      <c r="Q8" s="21"/>
      <c r="R8" s="21"/>
      <c r="S8" s="22"/>
      <c r="T8" s="21">
        <v>4</v>
      </c>
      <c r="U8" s="21"/>
      <c r="V8" s="21"/>
      <c r="W8" s="21"/>
      <c r="X8" s="22">
        <v>2</v>
      </c>
      <c r="Y8" s="21"/>
      <c r="Z8" s="22"/>
      <c r="AA8" s="21"/>
      <c r="AB8" s="21"/>
    </row>
    <row r="9" spans="1:28" ht="28.5" customHeight="1" x14ac:dyDescent="0.2">
      <c r="A9" s="66"/>
      <c r="B9" s="67"/>
      <c r="C9" s="27" t="s">
        <v>45</v>
      </c>
      <c r="D9" s="27" t="s">
        <v>37</v>
      </c>
      <c r="E9" s="58"/>
      <c r="F9" s="7"/>
      <c r="G9" s="14">
        <v>3</v>
      </c>
      <c r="H9" s="14">
        <v>4</v>
      </c>
      <c r="I9" s="21"/>
      <c r="J9" s="21"/>
      <c r="K9" s="21"/>
      <c r="L9" s="21"/>
      <c r="M9" s="21">
        <v>3</v>
      </c>
      <c r="N9" s="21">
        <v>4</v>
      </c>
      <c r="O9" s="21"/>
      <c r="P9" s="21"/>
      <c r="Q9" s="21"/>
      <c r="R9" s="21"/>
      <c r="S9" s="22"/>
      <c r="T9" s="21"/>
      <c r="U9" s="21"/>
      <c r="V9" s="21"/>
      <c r="W9" s="21"/>
      <c r="X9" s="22"/>
      <c r="Y9" s="21"/>
      <c r="Z9" s="22"/>
      <c r="AA9" s="21"/>
      <c r="AB9" s="21"/>
    </row>
    <row r="10" spans="1:28" ht="48" customHeight="1" x14ac:dyDescent="0.2">
      <c r="A10" s="66"/>
      <c r="B10" s="67"/>
      <c r="C10" s="27" t="s">
        <v>56</v>
      </c>
      <c r="D10" s="27" t="s">
        <v>34</v>
      </c>
      <c r="E10" s="58"/>
      <c r="F10" s="7"/>
      <c r="G10" s="14">
        <v>0</v>
      </c>
      <c r="H10" s="14">
        <v>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  <c r="T10" s="21"/>
      <c r="U10" s="21"/>
      <c r="V10" s="21">
        <v>8</v>
      </c>
      <c r="W10" s="21"/>
      <c r="X10" s="22"/>
      <c r="Y10" s="21"/>
      <c r="Z10" s="22"/>
      <c r="AA10" s="21"/>
      <c r="AB10" s="21"/>
    </row>
    <row r="11" spans="1:28" ht="26" x14ac:dyDescent="0.2">
      <c r="A11" s="55" t="s">
        <v>23</v>
      </c>
      <c r="B11" s="56"/>
      <c r="C11" s="56"/>
      <c r="D11" s="56"/>
      <c r="E11" s="12"/>
      <c r="F11" s="7"/>
      <c r="G11" s="14">
        <f>SUM(G8:G10)</f>
        <v>3</v>
      </c>
      <c r="H11" s="14">
        <f>SUM(H8:H10)</f>
        <v>20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/>
      <c r="T11" s="14"/>
      <c r="U11" s="14"/>
      <c r="V11" s="14"/>
      <c r="W11" s="14"/>
      <c r="X11" s="15"/>
      <c r="Y11" s="14"/>
      <c r="Z11" s="15"/>
      <c r="AA11" s="14"/>
      <c r="AB11" s="14"/>
    </row>
    <row r="12" spans="1:28" ht="21" customHeight="1" x14ac:dyDescent="0.2">
      <c r="A12" s="49">
        <v>2</v>
      </c>
      <c r="B12" s="52" t="s">
        <v>21</v>
      </c>
      <c r="C12" s="27" t="s">
        <v>51</v>
      </c>
      <c r="D12" s="27" t="s">
        <v>41</v>
      </c>
      <c r="E12" s="57"/>
      <c r="F12" s="7"/>
      <c r="G12" s="14">
        <v>3</v>
      </c>
      <c r="H12" s="14">
        <v>2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>
        <v>3</v>
      </c>
      <c r="T12" s="21">
        <v>2</v>
      </c>
      <c r="U12" s="21"/>
      <c r="V12" s="21"/>
      <c r="W12" s="21"/>
      <c r="X12" s="22"/>
      <c r="Y12" s="21"/>
      <c r="Z12" s="22"/>
      <c r="AA12" s="21"/>
      <c r="AB12" s="21"/>
    </row>
    <row r="13" spans="1:28" ht="26" x14ac:dyDescent="0.2">
      <c r="A13" s="50"/>
      <c r="B13" s="53"/>
      <c r="C13" s="27" t="s">
        <v>50</v>
      </c>
      <c r="D13" s="27" t="s">
        <v>34</v>
      </c>
      <c r="E13" s="58"/>
      <c r="F13" s="7"/>
      <c r="G13" s="14">
        <v>3</v>
      </c>
      <c r="H13" s="14">
        <v>2</v>
      </c>
      <c r="I13" s="21"/>
      <c r="J13" s="21"/>
      <c r="K13" s="21">
        <v>1</v>
      </c>
      <c r="L13" s="21"/>
      <c r="M13" s="21"/>
      <c r="N13" s="21"/>
      <c r="O13" s="21"/>
      <c r="P13" s="21"/>
      <c r="Q13" s="21"/>
      <c r="R13" s="21"/>
      <c r="S13" s="22"/>
      <c r="T13" s="21"/>
      <c r="U13" s="21"/>
      <c r="V13" s="21"/>
      <c r="W13" s="21"/>
      <c r="X13" s="22"/>
      <c r="Y13" s="21">
        <v>2</v>
      </c>
      <c r="Z13" s="21">
        <v>2</v>
      </c>
      <c r="AA13" s="21"/>
      <c r="AB13" s="21"/>
    </row>
    <row r="14" spans="1:28" ht="48" x14ac:dyDescent="0.2">
      <c r="A14" s="50"/>
      <c r="B14" s="53"/>
      <c r="C14" s="27" t="s">
        <v>49</v>
      </c>
      <c r="D14" s="27" t="s">
        <v>36</v>
      </c>
      <c r="E14" s="58"/>
      <c r="F14" s="7"/>
      <c r="G14" s="14">
        <v>3</v>
      </c>
      <c r="H14" s="14">
        <v>2</v>
      </c>
      <c r="I14" s="21"/>
      <c r="J14" s="21"/>
      <c r="K14" s="21"/>
      <c r="L14" s="21"/>
      <c r="M14" s="21"/>
      <c r="N14" s="21"/>
      <c r="Q14" s="21"/>
      <c r="R14" s="21"/>
      <c r="S14" s="22"/>
      <c r="T14" s="21"/>
      <c r="U14" s="21"/>
      <c r="V14" s="21"/>
      <c r="W14" s="21">
        <v>3</v>
      </c>
      <c r="X14" s="21">
        <v>2</v>
      </c>
      <c r="Y14" s="21"/>
      <c r="Z14" s="22"/>
      <c r="AA14" s="21"/>
      <c r="AB14" s="21"/>
    </row>
    <row r="15" spans="1:28" ht="26" x14ac:dyDescent="0.2">
      <c r="A15" s="50"/>
      <c r="B15" s="53"/>
      <c r="C15" s="27" t="s">
        <v>48</v>
      </c>
      <c r="D15" s="27" t="s">
        <v>39</v>
      </c>
      <c r="E15" s="58"/>
      <c r="F15" s="7"/>
      <c r="G15" s="14">
        <v>3</v>
      </c>
      <c r="H15" s="14">
        <v>2</v>
      </c>
      <c r="I15" s="21">
        <v>3</v>
      </c>
      <c r="J15" s="21">
        <v>2</v>
      </c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21"/>
      <c r="W15" s="21"/>
      <c r="X15" s="22"/>
      <c r="Y15" s="21"/>
      <c r="Z15" s="22"/>
      <c r="AA15" s="21"/>
      <c r="AB15" s="21"/>
    </row>
    <row r="16" spans="1:28" ht="26" x14ac:dyDescent="0.2">
      <c r="A16" s="50"/>
      <c r="B16" s="53"/>
      <c r="C16" s="27" t="s">
        <v>47</v>
      </c>
      <c r="D16" s="27" t="s">
        <v>38</v>
      </c>
      <c r="E16" s="59"/>
      <c r="F16" s="7"/>
      <c r="G16" s="14">
        <v>2</v>
      </c>
      <c r="H16" s="14">
        <v>2</v>
      </c>
      <c r="I16" s="21"/>
      <c r="J16" s="21"/>
      <c r="K16" s="21"/>
      <c r="L16" s="21"/>
      <c r="M16" s="21">
        <v>2</v>
      </c>
      <c r="N16" s="21">
        <v>2</v>
      </c>
      <c r="O16" s="21"/>
      <c r="P16" s="21"/>
      <c r="Q16" s="21"/>
      <c r="R16" s="21"/>
      <c r="S16" s="22"/>
      <c r="T16" s="21"/>
      <c r="U16" s="21"/>
      <c r="V16" s="21"/>
      <c r="W16" s="21"/>
      <c r="X16" s="22"/>
      <c r="Y16" s="21"/>
      <c r="Z16" s="22"/>
      <c r="AA16" s="21"/>
      <c r="AB16" s="21"/>
    </row>
    <row r="17" spans="1:28" ht="48" x14ac:dyDescent="0.2">
      <c r="A17" s="51"/>
      <c r="B17" s="54"/>
      <c r="C17" s="27" t="s">
        <v>46</v>
      </c>
      <c r="D17" s="27" t="s">
        <v>40</v>
      </c>
      <c r="E17" s="29"/>
      <c r="F17" s="7"/>
      <c r="G17" s="14"/>
      <c r="H17" s="1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1"/>
      <c r="U17" s="21"/>
      <c r="V17" s="21"/>
      <c r="W17" s="21"/>
      <c r="X17" s="22"/>
      <c r="Y17" s="21"/>
      <c r="Z17" s="22"/>
      <c r="AA17" s="21"/>
      <c r="AB17" s="21"/>
    </row>
    <row r="18" spans="1:28" ht="26" x14ac:dyDescent="0.2">
      <c r="A18" s="55" t="s">
        <v>26</v>
      </c>
      <c r="B18" s="56"/>
      <c r="C18" s="56"/>
      <c r="D18" s="56"/>
      <c r="E18" s="13"/>
      <c r="F18" s="7"/>
      <c r="G18" s="14">
        <f>SUM(G12:G16)</f>
        <v>14</v>
      </c>
      <c r="H18" s="14">
        <f>SUM(H12:H16)</f>
        <v>10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14"/>
      <c r="U18" s="14"/>
      <c r="V18" s="14"/>
      <c r="W18" s="14"/>
      <c r="X18" s="15"/>
      <c r="Y18" s="14"/>
      <c r="Z18" s="15"/>
      <c r="AA18" s="14"/>
      <c r="AB18" s="14"/>
    </row>
    <row r="19" spans="1:28" ht="26.25" customHeight="1" x14ac:dyDescent="0.2">
      <c r="A19" s="49">
        <v>3</v>
      </c>
      <c r="B19" s="52" t="s">
        <v>22</v>
      </c>
      <c r="C19" s="27" t="s">
        <v>52</v>
      </c>
      <c r="D19" s="27" t="s">
        <v>57</v>
      </c>
      <c r="E19" s="57"/>
      <c r="F19" s="7"/>
      <c r="G19" s="14">
        <v>4</v>
      </c>
      <c r="H19" s="14">
        <v>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4"/>
      <c r="Y19" s="23"/>
      <c r="Z19" s="24"/>
      <c r="AA19" s="23">
        <v>4</v>
      </c>
      <c r="AB19" s="23">
        <v>2</v>
      </c>
    </row>
    <row r="20" spans="1:28" ht="26" x14ac:dyDescent="0.2">
      <c r="A20" s="50"/>
      <c r="B20" s="53"/>
      <c r="C20" s="27" t="s">
        <v>30</v>
      </c>
      <c r="D20" s="27" t="s">
        <v>41</v>
      </c>
      <c r="E20" s="58"/>
      <c r="F20" s="7"/>
      <c r="G20" s="14">
        <v>4</v>
      </c>
      <c r="H20" s="14">
        <v>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3"/>
      <c r="U20" s="23"/>
      <c r="V20" s="23"/>
      <c r="W20" s="23"/>
      <c r="X20" s="24"/>
      <c r="Y20" s="23">
        <v>4</v>
      </c>
      <c r="Z20" s="24">
        <v>2</v>
      </c>
      <c r="AA20" s="23"/>
      <c r="AB20" s="23"/>
    </row>
    <row r="21" spans="1:28" ht="48" x14ac:dyDescent="0.2">
      <c r="A21" s="50"/>
      <c r="B21" s="53"/>
      <c r="C21" s="27" t="s">
        <v>53</v>
      </c>
      <c r="D21" s="27" t="s">
        <v>39</v>
      </c>
      <c r="E21" s="58"/>
      <c r="F21" s="7"/>
      <c r="G21" s="14"/>
      <c r="H21" s="1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3"/>
      <c r="U21" s="23"/>
      <c r="V21" s="23"/>
      <c r="W21" s="23"/>
      <c r="X21" s="24"/>
      <c r="Y21" s="23"/>
      <c r="Z21" s="24"/>
      <c r="AA21" s="23"/>
      <c r="AB21" s="23"/>
    </row>
    <row r="22" spans="1:28" ht="26" x14ac:dyDescent="0.2">
      <c r="A22" s="50"/>
      <c r="B22" s="53"/>
      <c r="C22" s="27" t="s">
        <v>31</v>
      </c>
      <c r="D22" s="27" t="s">
        <v>38</v>
      </c>
      <c r="E22" s="58"/>
      <c r="F22" s="7"/>
      <c r="G22" s="14">
        <v>4</v>
      </c>
      <c r="H22" s="14">
        <v>2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3"/>
      <c r="U22" s="23"/>
      <c r="V22" s="23"/>
      <c r="W22" s="23">
        <v>4</v>
      </c>
      <c r="X22" s="24">
        <v>2</v>
      </c>
      <c r="Y22" s="23"/>
      <c r="Z22" s="24"/>
      <c r="AA22" s="23"/>
      <c r="AB22" s="23"/>
    </row>
    <row r="23" spans="1:28" ht="26" x14ac:dyDescent="0.2">
      <c r="A23" s="50"/>
      <c r="B23" s="53"/>
      <c r="C23" s="27" t="s">
        <v>54</v>
      </c>
      <c r="D23" s="27" t="s">
        <v>36</v>
      </c>
      <c r="E23" s="58"/>
      <c r="F23" s="7"/>
      <c r="G23" s="14">
        <v>0</v>
      </c>
      <c r="H23" s="14">
        <v>2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3">
        <v>2</v>
      </c>
      <c r="U23" s="23"/>
      <c r="V23" s="23"/>
      <c r="W23" s="23"/>
      <c r="X23" s="24"/>
      <c r="Y23" s="23"/>
      <c r="Z23" s="24"/>
      <c r="AA23" s="23"/>
      <c r="AB23" s="23"/>
    </row>
    <row r="24" spans="1:28" ht="26" x14ac:dyDescent="0.2">
      <c r="A24" s="50"/>
      <c r="B24" s="53"/>
      <c r="C24" s="27" t="s">
        <v>55</v>
      </c>
      <c r="D24" s="27" t="s">
        <v>35</v>
      </c>
      <c r="E24" s="58"/>
      <c r="F24" s="7"/>
      <c r="G24" s="14">
        <v>4</v>
      </c>
      <c r="H24" s="14">
        <v>2</v>
      </c>
      <c r="I24" s="23"/>
      <c r="J24" s="23"/>
      <c r="K24" s="23"/>
      <c r="L24" s="23"/>
      <c r="M24" s="26"/>
      <c r="N24" s="26"/>
      <c r="O24" s="23"/>
      <c r="P24" s="23"/>
      <c r="Q24" s="23"/>
      <c r="R24" s="23"/>
      <c r="S24" s="24"/>
      <c r="T24" s="23"/>
      <c r="U24" s="23">
        <v>4</v>
      </c>
      <c r="V24" s="23">
        <v>2</v>
      </c>
      <c r="W24" s="23"/>
      <c r="X24" s="24"/>
      <c r="Y24" s="23"/>
      <c r="Z24" s="24"/>
      <c r="AA24" s="23"/>
      <c r="AB24" s="23"/>
    </row>
    <row r="25" spans="1:28" ht="48" x14ac:dyDescent="0.2">
      <c r="A25" s="50"/>
      <c r="B25" s="53"/>
      <c r="C25" s="27" t="s">
        <v>32</v>
      </c>
      <c r="D25" s="27" t="s">
        <v>58</v>
      </c>
      <c r="E25" s="58"/>
      <c r="F25" s="7"/>
      <c r="G25" s="14"/>
      <c r="H25" s="14"/>
      <c r="I25" s="23"/>
      <c r="J25" s="23"/>
      <c r="K25" s="23"/>
      <c r="L25" s="23"/>
      <c r="M25" s="26"/>
      <c r="N25" s="26"/>
      <c r="O25" s="23"/>
      <c r="P25" s="23"/>
      <c r="Q25" s="23"/>
      <c r="R25" s="23"/>
      <c r="S25" s="24"/>
      <c r="T25" s="23"/>
      <c r="U25" s="23"/>
      <c r="V25" s="23"/>
      <c r="W25" s="23"/>
      <c r="X25" s="24"/>
      <c r="Y25" s="23"/>
      <c r="Z25" s="24"/>
      <c r="AA25" s="23"/>
      <c r="AB25" s="23"/>
    </row>
    <row r="26" spans="1:28" ht="26" x14ac:dyDescent="0.2">
      <c r="A26" s="50"/>
      <c r="B26" s="53"/>
      <c r="C26" s="27" t="s">
        <v>33</v>
      </c>
      <c r="D26" s="27" t="s">
        <v>38</v>
      </c>
      <c r="E26" s="58"/>
      <c r="F26" s="7"/>
      <c r="G26" s="14"/>
      <c r="H26" s="14"/>
      <c r="I26" s="23"/>
      <c r="J26" s="23"/>
      <c r="K26" s="23"/>
      <c r="L26" s="23"/>
      <c r="M26" s="26"/>
      <c r="N26" s="26"/>
      <c r="O26" s="23"/>
      <c r="P26" s="23"/>
      <c r="Q26" s="23"/>
      <c r="R26" s="23"/>
      <c r="S26" s="24"/>
      <c r="T26" s="23"/>
      <c r="U26" s="23"/>
      <c r="V26" s="23"/>
      <c r="W26" s="23"/>
      <c r="X26" s="24"/>
      <c r="Y26" s="23"/>
      <c r="Z26" s="24"/>
      <c r="AA26" s="23"/>
      <c r="AB26" s="23"/>
    </row>
    <row r="27" spans="1:28" ht="26" x14ac:dyDescent="0.2">
      <c r="A27" s="60"/>
      <c r="B27" s="61"/>
      <c r="C27" s="61"/>
      <c r="D27" s="61"/>
      <c r="E27" s="59"/>
      <c r="F27" s="7"/>
      <c r="G27" s="14">
        <f>SUM(G19:G24)</f>
        <v>16</v>
      </c>
      <c r="H27" s="14">
        <f>SUM(H19:H24)</f>
        <v>10</v>
      </c>
      <c r="I27" s="20">
        <f t="shared" ref="I27:AB27" si="0">SUM(I8:I24)</f>
        <v>3</v>
      </c>
      <c r="J27" s="19">
        <f t="shared" si="0"/>
        <v>2</v>
      </c>
      <c r="K27" s="20">
        <f t="shared" si="0"/>
        <v>1</v>
      </c>
      <c r="L27" s="19">
        <f t="shared" si="0"/>
        <v>2</v>
      </c>
      <c r="M27" s="20">
        <f t="shared" si="0"/>
        <v>5</v>
      </c>
      <c r="N27" s="19">
        <f t="shared" si="0"/>
        <v>6</v>
      </c>
      <c r="O27" s="20">
        <f t="shared" si="0"/>
        <v>0</v>
      </c>
      <c r="P27" s="19">
        <f t="shared" si="0"/>
        <v>0</v>
      </c>
      <c r="Q27" s="20">
        <f t="shared" si="0"/>
        <v>0</v>
      </c>
      <c r="R27" s="19">
        <f t="shared" si="0"/>
        <v>0</v>
      </c>
      <c r="S27" s="20">
        <f t="shared" si="0"/>
        <v>3</v>
      </c>
      <c r="T27" s="19">
        <f t="shared" si="0"/>
        <v>8</v>
      </c>
      <c r="U27" s="20">
        <f t="shared" si="0"/>
        <v>4</v>
      </c>
      <c r="V27" s="19">
        <f t="shared" si="0"/>
        <v>10</v>
      </c>
      <c r="W27" s="20">
        <f t="shared" si="0"/>
        <v>7</v>
      </c>
      <c r="X27" s="19">
        <f t="shared" si="0"/>
        <v>6</v>
      </c>
      <c r="Y27" s="20">
        <f t="shared" si="0"/>
        <v>6</v>
      </c>
      <c r="Z27" s="19">
        <f t="shared" si="0"/>
        <v>4</v>
      </c>
      <c r="AA27" s="20">
        <f t="shared" si="0"/>
        <v>4</v>
      </c>
      <c r="AB27" s="19">
        <f t="shared" si="0"/>
        <v>2</v>
      </c>
    </row>
    <row r="28" spans="1:28" ht="27.75" customHeight="1" x14ac:dyDescent="0.2">
      <c r="A28" s="1"/>
      <c r="B28" s="1"/>
      <c r="C28" s="1"/>
      <c r="D28" s="1"/>
      <c r="E28" s="2"/>
      <c r="F28" s="16"/>
      <c r="G28" s="16"/>
      <c r="H28" s="14" t="e">
        <f>SUM(#REF!)</f>
        <v>#REF!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6"/>
      <c r="AA28" s="16"/>
      <c r="AB28" s="16"/>
    </row>
    <row r="29" spans="1:28" x14ac:dyDescent="0.2">
      <c r="A29" s="3"/>
      <c r="B29" s="3"/>
      <c r="C29" s="3"/>
      <c r="D29" s="3"/>
    </row>
    <row r="30" spans="1:28" x14ac:dyDescent="0.2">
      <c r="A30" s="3"/>
      <c r="B30" s="4"/>
      <c r="C30" s="4"/>
      <c r="D30" s="4"/>
      <c r="E30" s="3"/>
    </row>
    <row r="31" spans="1:28" x14ac:dyDescent="0.2">
      <c r="A31" s="5"/>
      <c r="E31" s="3"/>
    </row>
    <row r="32" spans="1:28" ht="15" customHeight="1" x14ac:dyDescent="0.2">
      <c r="A32" s="4"/>
      <c r="B32" s="3"/>
      <c r="C32" s="3"/>
      <c r="D32" s="3"/>
      <c r="E32" s="62"/>
    </row>
    <row r="33" spans="1:10" ht="15" customHeight="1" x14ac:dyDescent="0.2">
      <c r="A33" s="3"/>
      <c r="B33" s="3"/>
      <c r="C33" s="3"/>
      <c r="D33" s="3"/>
      <c r="E33" s="62"/>
    </row>
    <row r="37" spans="1:10" x14ac:dyDescent="0.2">
      <c r="I37" s="25" t="s">
        <v>27</v>
      </c>
      <c r="J37">
        <f>SUM(I27+K27+M27+O27+Q27+S27+U27+W27+Y27+AA27)</f>
        <v>33</v>
      </c>
    </row>
    <row r="39" spans="1:10" x14ac:dyDescent="0.2">
      <c r="I39" s="25" t="s">
        <v>28</v>
      </c>
      <c r="J39">
        <f>SUM(J27+L27+N27+P27+R27+T27+V27+X27+Z27+AB27)</f>
        <v>40</v>
      </c>
    </row>
  </sheetData>
  <mergeCells count="33">
    <mergeCell ref="A11:D11"/>
    <mergeCell ref="E32:E33"/>
    <mergeCell ref="B19:B26"/>
    <mergeCell ref="A19:A26"/>
    <mergeCell ref="A18:D18"/>
    <mergeCell ref="E19:E27"/>
    <mergeCell ref="A27:D27"/>
    <mergeCell ref="E12:E16"/>
    <mergeCell ref="B12:B17"/>
    <mergeCell ref="A12:A17"/>
    <mergeCell ref="B7:B10"/>
    <mergeCell ref="A7:A10"/>
    <mergeCell ref="W5:X5"/>
    <mergeCell ref="Y5:Z5"/>
    <mergeCell ref="E8:E10"/>
    <mergeCell ref="M5:N5"/>
    <mergeCell ref="O5:P5"/>
    <mergeCell ref="Q5:R5"/>
    <mergeCell ref="A1:AB1"/>
    <mergeCell ref="A2:AB2"/>
    <mergeCell ref="A3:AB3"/>
    <mergeCell ref="A4:A5"/>
    <mergeCell ref="B4:B5"/>
    <mergeCell ref="C4:C5"/>
    <mergeCell ref="AA5:AB5"/>
    <mergeCell ref="E4:E5"/>
    <mergeCell ref="G4:H5"/>
    <mergeCell ref="I4:AB4"/>
    <mergeCell ref="I5:J5"/>
    <mergeCell ref="K5:L5"/>
    <mergeCell ref="S5:T5"/>
    <mergeCell ref="U5:V5"/>
    <mergeCell ref="D4:D5"/>
  </mergeCells>
  <pageMargins left="0.19" right="0" top="0.32" bottom="0.28999999999999998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topLeftCell="A5" zoomScale="80" zoomScaleNormal="80" workbookViewId="0">
      <selection activeCell="D23" sqref="D23"/>
    </sheetView>
  </sheetViews>
  <sheetFormatPr baseColWidth="10" defaultColWidth="10" defaultRowHeight="15" x14ac:dyDescent="0.2"/>
  <cols>
    <col min="2" max="2" width="13.5" customWidth="1"/>
    <col min="3" max="3" width="72.33203125" customWidth="1"/>
    <col min="4" max="4" width="75.33203125" customWidth="1"/>
    <col min="5" max="28" width="0" hidden="1" customWidth="1"/>
  </cols>
  <sheetData>
    <row r="1" spans="1:28" ht="23" x14ac:dyDescent="0.2">
      <c r="A1" s="41" t="s">
        <v>0</v>
      </c>
      <c r="B1" s="41"/>
      <c r="C1" s="41"/>
      <c r="D1" s="31"/>
    </row>
    <row r="2" spans="1:28" ht="25" x14ac:dyDescent="0.2">
      <c r="A2" s="42" t="s">
        <v>5</v>
      </c>
      <c r="B2" s="43"/>
      <c r="C2" s="43"/>
      <c r="D2" s="32"/>
    </row>
    <row r="3" spans="1:28" ht="28.5" customHeight="1" x14ac:dyDescent="0.2">
      <c r="A3" s="44" t="s">
        <v>6</v>
      </c>
      <c r="B3" s="45"/>
      <c r="C3" s="45"/>
      <c r="D3" s="33"/>
    </row>
    <row r="4" spans="1:28" ht="49.5" customHeight="1" x14ac:dyDescent="0.2">
      <c r="A4" s="46" t="s">
        <v>1</v>
      </c>
      <c r="B4" s="48" t="s">
        <v>4</v>
      </c>
      <c r="C4" s="48" t="s">
        <v>2</v>
      </c>
      <c r="D4" s="39" t="s">
        <v>24</v>
      </c>
    </row>
    <row r="5" spans="1:28" s="10" customFormat="1" ht="75.75" customHeight="1" x14ac:dyDescent="0.2">
      <c r="A5" s="47"/>
      <c r="B5" s="40"/>
      <c r="C5" s="40"/>
      <c r="D5" s="40"/>
    </row>
    <row r="6" spans="1:28" s="8" customFormat="1" ht="20" x14ac:dyDescent="0.2">
      <c r="A6" s="11">
        <v>1</v>
      </c>
      <c r="B6" s="11">
        <v>2</v>
      </c>
      <c r="C6" s="11">
        <v>3</v>
      </c>
      <c r="D6" s="11"/>
    </row>
    <row r="7" spans="1:28" ht="43.5" customHeight="1" x14ac:dyDescent="0.2">
      <c r="A7" s="49">
        <v>1</v>
      </c>
      <c r="B7" s="52" t="s">
        <v>103</v>
      </c>
      <c r="C7" s="37" t="s">
        <v>80</v>
      </c>
      <c r="D7" s="27" t="s">
        <v>39</v>
      </c>
    </row>
    <row r="8" spans="1:28" ht="42.75" customHeight="1" x14ac:dyDescent="0.2">
      <c r="A8" s="50"/>
      <c r="B8" s="53"/>
      <c r="C8" s="37" t="s">
        <v>81</v>
      </c>
      <c r="D8" s="27" t="s">
        <v>113</v>
      </c>
    </row>
    <row r="9" spans="1:28" ht="30" customHeight="1" x14ac:dyDescent="0.2">
      <c r="A9" s="50"/>
      <c r="B9" s="53"/>
      <c r="C9" s="38" t="s">
        <v>82</v>
      </c>
      <c r="D9" s="27" t="s">
        <v>114</v>
      </c>
    </row>
    <row r="10" spans="1:28" ht="30" customHeight="1" x14ac:dyDescent="0.2">
      <c r="A10" s="50"/>
      <c r="B10" s="53"/>
      <c r="C10" s="37" t="s">
        <v>102</v>
      </c>
      <c r="D10" s="27" t="s">
        <v>35</v>
      </c>
    </row>
    <row r="11" spans="1:28" ht="26.25" customHeight="1" x14ac:dyDescent="0.2">
      <c r="A11" s="55" t="s">
        <v>110</v>
      </c>
      <c r="B11" s="56"/>
      <c r="C11" s="56"/>
      <c r="D11" s="79"/>
    </row>
    <row r="12" spans="1:28" ht="21" customHeight="1" x14ac:dyDescent="0.2">
      <c r="A12" s="49">
        <v>2</v>
      </c>
      <c r="B12" s="52" t="s">
        <v>104</v>
      </c>
      <c r="C12" s="38" t="s">
        <v>84</v>
      </c>
      <c r="D12" s="27" t="s">
        <v>38</v>
      </c>
      <c r="E12" s="57"/>
      <c r="F12" s="7"/>
      <c r="G12" s="14">
        <v>3</v>
      </c>
      <c r="H12" s="14">
        <v>2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>
        <v>3</v>
      </c>
      <c r="T12" s="21">
        <v>2</v>
      </c>
      <c r="U12" s="21"/>
      <c r="V12" s="21"/>
      <c r="W12" s="21"/>
      <c r="X12" s="22"/>
      <c r="Y12" s="21"/>
      <c r="Z12" s="22"/>
      <c r="AA12" s="21"/>
      <c r="AB12" s="21"/>
    </row>
    <row r="13" spans="1:28" ht="26" x14ac:dyDescent="0.2">
      <c r="A13" s="50"/>
      <c r="B13" s="53"/>
      <c r="C13" s="38" t="s">
        <v>85</v>
      </c>
      <c r="D13" s="27" t="s">
        <v>34</v>
      </c>
      <c r="E13" s="58"/>
      <c r="F13" s="7"/>
      <c r="G13" s="14">
        <v>3</v>
      </c>
      <c r="H13" s="14">
        <v>2</v>
      </c>
      <c r="I13" s="21"/>
      <c r="J13" s="21"/>
      <c r="K13" s="21">
        <v>1</v>
      </c>
      <c r="L13" s="21"/>
      <c r="M13" s="21"/>
      <c r="N13" s="21"/>
      <c r="O13" s="21"/>
      <c r="P13" s="21"/>
      <c r="Q13" s="21"/>
      <c r="R13" s="21"/>
      <c r="S13" s="22"/>
      <c r="T13" s="21"/>
      <c r="U13" s="21"/>
      <c r="V13" s="21"/>
      <c r="W13" s="21"/>
      <c r="X13" s="22"/>
      <c r="Y13" s="21">
        <v>2</v>
      </c>
      <c r="Z13" s="21">
        <v>2</v>
      </c>
      <c r="AA13" s="21"/>
      <c r="AB13" s="21"/>
    </row>
    <row r="14" spans="1:28" ht="26" x14ac:dyDescent="0.2">
      <c r="A14" s="50"/>
      <c r="B14" s="53"/>
      <c r="C14" s="38" t="s">
        <v>86</v>
      </c>
      <c r="D14" s="27" t="s">
        <v>41</v>
      </c>
      <c r="E14" s="58"/>
      <c r="F14" s="7"/>
      <c r="G14" s="14">
        <v>3</v>
      </c>
      <c r="H14" s="14">
        <v>2</v>
      </c>
      <c r="I14" s="21"/>
      <c r="J14" s="21"/>
      <c r="K14" s="21"/>
      <c r="L14" s="21"/>
      <c r="M14" s="21"/>
      <c r="N14" s="21"/>
      <c r="Q14" s="21"/>
      <c r="R14" s="21"/>
      <c r="S14" s="22"/>
      <c r="T14" s="21"/>
      <c r="U14" s="21"/>
      <c r="V14" s="21"/>
      <c r="W14" s="21">
        <v>3</v>
      </c>
      <c r="X14" s="21">
        <v>2</v>
      </c>
      <c r="Y14" s="21"/>
      <c r="Z14" s="22"/>
      <c r="AA14" s="21"/>
      <c r="AB14" s="21"/>
    </row>
    <row r="15" spans="1:28" ht="26" x14ac:dyDescent="0.2">
      <c r="A15" s="50"/>
      <c r="B15" s="53"/>
      <c r="C15" s="38" t="s">
        <v>87</v>
      </c>
      <c r="D15" s="27" t="s">
        <v>36</v>
      </c>
      <c r="E15" s="58"/>
      <c r="F15" s="7"/>
      <c r="G15" s="14">
        <v>3</v>
      </c>
      <c r="H15" s="14">
        <v>2</v>
      </c>
      <c r="I15" s="21">
        <v>3</v>
      </c>
      <c r="J15" s="21">
        <v>2</v>
      </c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21"/>
      <c r="W15" s="21"/>
      <c r="X15" s="22"/>
      <c r="Y15" s="21"/>
      <c r="Z15" s="22"/>
      <c r="AA15" s="21"/>
      <c r="AB15" s="21"/>
    </row>
    <row r="16" spans="1:28" ht="26" x14ac:dyDescent="0.2">
      <c r="A16" s="50"/>
      <c r="B16" s="53"/>
      <c r="C16" s="37" t="s">
        <v>106</v>
      </c>
      <c r="D16" s="27" t="s">
        <v>42</v>
      </c>
      <c r="E16" s="59"/>
      <c r="F16" s="7"/>
      <c r="G16" s="14">
        <v>2</v>
      </c>
      <c r="H16" s="14">
        <v>2</v>
      </c>
      <c r="I16" s="21"/>
      <c r="J16" s="21"/>
      <c r="K16" s="21"/>
      <c r="L16" s="21"/>
      <c r="M16" s="21">
        <v>2</v>
      </c>
      <c r="N16" s="21">
        <v>2</v>
      </c>
      <c r="O16" s="21"/>
      <c r="P16" s="21"/>
      <c r="Q16" s="21"/>
      <c r="R16" s="21"/>
      <c r="S16" s="22"/>
      <c r="T16" s="21"/>
      <c r="U16" s="21"/>
      <c r="V16" s="21"/>
      <c r="W16" s="21"/>
      <c r="X16" s="22"/>
      <c r="Y16" s="21"/>
      <c r="Z16" s="22"/>
      <c r="AA16" s="21"/>
      <c r="AB16" s="21"/>
    </row>
    <row r="17" spans="1:28" ht="26" x14ac:dyDescent="0.2">
      <c r="A17" s="50"/>
      <c r="B17" s="53"/>
      <c r="C17" s="37" t="s">
        <v>107</v>
      </c>
      <c r="D17" s="27" t="s">
        <v>35</v>
      </c>
      <c r="E17" s="29"/>
      <c r="F17" s="7"/>
      <c r="G17" s="14"/>
      <c r="H17" s="1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1"/>
      <c r="U17" s="21"/>
      <c r="V17" s="21"/>
      <c r="W17" s="21"/>
      <c r="X17" s="22"/>
      <c r="Y17" s="21"/>
      <c r="Z17" s="22"/>
      <c r="AA17" s="21"/>
      <c r="AB17" s="21"/>
    </row>
    <row r="18" spans="1:28" ht="26" x14ac:dyDescent="0.2">
      <c r="A18" s="51"/>
      <c r="B18" s="54"/>
      <c r="C18" s="37" t="s">
        <v>108</v>
      </c>
      <c r="D18" s="27" t="s">
        <v>42</v>
      </c>
      <c r="E18" s="29"/>
      <c r="F18" s="7"/>
      <c r="G18" s="14"/>
      <c r="H18" s="1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21"/>
      <c r="U18" s="21"/>
      <c r="V18" s="21"/>
      <c r="W18" s="21"/>
      <c r="X18" s="22"/>
      <c r="Y18" s="21"/>
      <c r="Z18" s="22"/>
      <c r="AA18" s="21"/>
      <c r="AB18" s="21"/>
    </row>
    <row r="19" spans="1:28" ht="26" x14ac:dyDescent="0.2">
      <c r="A19" s="55" t="s">
        <v>111</v>
      </c>
      <c r="B19" s="56"/>
      <c r="C19" s="56"/>
      <c r="D19" s="56"/>
      <c r="E19" s="13"/>
      <c r="F19" s="7"/>
      <c r="G19" s="14">
        <f>SUM(G12:G16)</f>
        <v>14</v>
      </c>
      <c r="H19" s="14">
        <f>SUM(H12:H16)</f>
        <v>10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/>
      <c r="T19" s="14"/>
      <c r="U19" s="14"/>
      <c r="V19" s="14"/>
      <c r="W19" s="14"/>
      <c r="X19" s="15"/>
      <c r="Y19" s="14"/>
      <c r="Z19" s="15"/>
      <c r="AA19" s="14"/>
      <c r="AB19" s="14"/>
    </row>
    <row r="20" spans="1:28" ht="42.75" customHeight="1" x14ac:dyDescent="0.2">
      <c r="A20" s="35">
        <v>3</v>
      </c>
      <c r="B20" s="34" t="s">
        <v>105</v>
      </c>
      <c r="C20" s="38" t="s">
        <v>109</v>
      </c>
      <c r="D20" s="27" t="s">
        <v>41</v>
      </c>
      <c r="E20" s="57"/>
      <c r="F20" s="7"/>
      <c r="G20" s="14">
        <v>4</v>
      </c>
      <c r="H20" s="14">
        <v>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3"/>
      <c r="U20" s="23"/>
      <c r="V20" s="23"/>
      <c r="W20" s="23"/>
      <c r="X20" s="24"/>
      <c r="Y20" s="23"/>
      <c r="Z20" s="24"/>
      <c r="AA20" s="23">
        <v>4</v>
      </c>
      <c r="AB20" s="23">
        <v>2</v>
      </c>
    </row>
    <row r="21" spans="1:28" ht="26" x14ac:dyDescent="0.2">
      <c r="A21" s="55" t="s">
        <v>112</v>
      </c>
      <c r="B21" s="56"/>
      <c r="C21" s="56"/>
      <c r="D21" s="56"/>
      <c r="E21" s="59"/>
      <c r="F21" s="7"/>
      <c r="G21" s="14">
        <f>SUM(G20:G20)</f>
        <v>4</v>
      </c>
      <c r="H21" s="14">
        <f>SUM(H20:H20)</f>
        <v>2</v>
      </c>
      <c r="I21" s="20">
        <f t="shared" ref="I21:AB21" si="0">SUM(I8:I20)</f>
        <v>3</v>
      </c>
      <c r="J21" s="19">
        <f t="shared" si="0"/>
        <v>2</v>
      </c>
      <c r="K21" s="20">
        <f t="shared" si="0"/>
        <v>1</v>
      </c>
      <c r="L21" s="19">
        <f t="shared" si="0"/>
        <v>0</v>
      </c>
      <c r="M21" s="20">
        <f t="shared" si="0"/>
        <v>2</v>
      </c>
      <c r="N21" s="19">
        <f t="shared" si="0"/>
        <v>2</v>
      </c>
      <c r="O21" s="20">
        <f t="shared" si="0"/>
        <v>0</v>
      </c>
      <c r="P21" s="19">
        <f t="shared" si="0"/>
        <v>0</v>
      </c>
      <c r="Q21" s="20">
        <f t="shared" si="0"/>
        <v>0</v>
      </c>
      <c r="R21" s="19">
        <f t="shared" si="0"/>
        <v>0</v>
      </c>
      <c r="S21" s="20">
        <f t="shared" si="0"/>
        <v>3</v>
      </c>
      <c r="T21" s="19">
        <f t="shared" si="0"/>
        <v>2</v>
      </c>
      <c r="U21" s="20">
        <f t="shared" si="0"/>
        <v>0</v>
      </c>
      <c r="V21" s="19">
        <f t="shared" si="0"/>
        <v>0</v>
      </c>
      <c r="W21" s="20">
        <f t="shared" si="0"/>
        <v>3</v>
      </c>
      <c r="X21" s="19">
        <f t="shared" si="0"/>
        <v>2</v>
      </c>
      <c r="Y21" s="20">
        <f t="shared" si="0"/>
        <v>2</v>
      </c>
      <c r="Z21" s="19">
        <f t="shared" si="0"/>
        <v>2</v>
      </c>
      <c r="AA21" s="20">
        <f t="shared" si="0"/>
        <v>4</v>
      </c>
      <c r="AB21" s="19">
        <f t="shared" si="0"/>
        <v>2</v>
      </c>
    </row>
    <row r="22" spans="1:28" x14ac:dyDescent="0.2">
      <c r="A22" s="3"/>
      <c r="B22" s="4"/>
      <c r="C22" s="4"/>
    </row>
    <row r="23" spans="1:28" x14ac:dyDescent="0.2">
      <c r="A23" s="5"/>
    </row>
    <row r="24" spans="1:28" ht="15" customHeight="1" x14ac:dyDescent="0.2">
      <c r="A24" s="4"/>
      <c r="B24" s="3"/>
      <c r="C24" s="3"/>
    </row>
    <row r="25" spans="1:28" ht="15" customHeight="1" x14ac:dyDescent="0.2">
      <c r="A25" s="3"/>
      <c r="B25" s="3"/>
      <c r="C25" s="3"/>
    </row>
  </sheetData>
  <mergeCells count="16">
    <mergeCell ref="A1:C1"/>
    <mergeCell ref="A2:C2"/>
    <mergeCell ref="A3:C3"/>
    <mergeCell ref="A4:A5"/>
    <mergeCell ref="B4:B5"/>
    <mergeCell ref="C4:C5"/>
    <mergeCell ref="E12:E16"/>
    <mergeCell ref="A19:D19"/>
    <mergeCell ref="E20:E21"/>
    <mergeCell ref="A21:D21"/>
    <mergeCell ref="D4:D5"/>
    <mergeCell ref="A7:A10"/>
    <mergeCell ref="B7:B10"/>
    <mergeCell ref="A12:A18"/>
    <mergeCell ref="B12:B18"/>
    <mergeCell ref="A11:D11"/>
  </mergeCells>
  <pageMargins left="0.34" right="0.26" top="7.0000000000000007E-2" bottom="0.08" header="0.1" footer="0.15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9"/>
  <sheetViews>
    <sheetView tabSelected="1" zoomScale="80" zoomScaleNormal="80" workbookViewId="0">
      <selection activeCell="D21" sqref="D21"/>
    </sheetView>
  </sheetViews>
  <sheetFormatPr baseColWidth="10" defaultColWidth="10" defaultRowHeight="15" x14ac:dyDescent="0.2"/>
  <cols>
    <col min="2" max="2" width="13.5" customWidth="1"/>
    <col min="3" max="3" width="72.33203125" customWidth="1"/>
    <col min="4" max="4" width="75.33203125" customWidth="1"/>
    <col min="5" max="28" width="0" hidden="1" customWidth="1"/>
  </cols>
  <sheetData>
    <row r="1" spans="1:28" ht="23" x14ac:dyDescent="0.2">
      <c r="A1" s="41" t="s">
        <v>0</v>
      </c>
      <c r="B1" s="41"/>
      <c r="C1" s="41"/>
      <c r="D1" s="31"/>
    </row>
    <row r="2" spans="1:28" ht="25" x14ac:dyDescent="0.2">
      <c r="A2" s="42" t="s">
        <v>5</v>
      </c>
      <c r="B2" s="43"/>
      <c r="C2" s="43"/>
      <c r="D2" s="32"/>
    </row>
    <row r="3" spans="1:28" ht="28.5" customHeight="1" x14ac:dyDescent="0.2">
      <c r="A3" s="44" t="s">
        <v>6</v>
      </c>
      <c r="B3" s="45"/>
      <c r="C3" s="45"/>
      <c r="D3" s="33"/>
    </row>
    <row r="4" spans="1:28" ht="49.5" customHeight="1" x14ac:dyDescent="0.2">
      <c r="A4" s="46" t="s">
        <v>1</v>
      </c>
      <c r="B4" s="48" t="s">
        <v>4</v>
      </c>
      <c r="C4" s="48" t="s">
        <v>2</v>
      </c>
      <c r="D4" s="39" t="s">
        <v>24</v>
      </c>
    </row>
    <row r="5" spans="1:28" s="10" customFormat="1" ht="75.75" customHeight="1" x14ac:dyDescent="0.2">
      <c r="A5" s="47"/>
      <c r="B5" s="40"/>
      <c r="C5" s="40"/>
      <c r="D5" s="40"/>
    </row>
    <row r="6" spans="1:28" s="8" customFormat="1" ht="20" x14ac:dyDescent="0.2">
      <c r="A6" s="11">
        <v>1</v>
      </c>
      <c r="B6" s="11">
        <v>2</v>
      </c>
      <c r="C6" s="11">
        <v>3</v>
      </c>
      <c r="D6" s="11"/>
    </row>
    <row r="7" spans="1:28" ht="43.5" customHeight="1" x14ac:dyDescent="0.2">
      <c r="A7" s="49">
        <v>1</v>
      </c>
      <c r="B7" s="52" t="s">
        <v>25</v>
      </c>
      <c r="C7" s="36" t="s">
        <v>43</v>
      </c>
      <c r="D7" s="27" t="s">
        <v>36</v>
      </c>
    </row>
    <row r="8" spans="1:28" ht="42.75" customHeight="1" x14ac:dyDescent="0.2">
      <c r="A8" s="50"/>
      <c r="B8" s="53"/>
      <c r="C8" s="36" t="s">
        <v>59</v>
      </c>
      <c r="D8" s="27" t="s">
        <v>61</v>
      </c>
    </row>
    <row r="9" spans="1:28" ht="30" customHeight="1" x14ac:dyDescent="0.2">
      <c r="A9" s="50"/>
      <c r="B9" s="53"/>
      <c r="C9" s="36" t="s">
        <v>60</v>
      </c>
      <c r="D9" s="27" t="s">
        <v>62</v>
      </c>
    </row>
    <row r="10" spans="1:28" ht="30" customHeight="1" x14ac:dyDescent="0.2">
      <c r="A10" s="50"/>
      <c r="B10" s="53"/>
      <c r="C10" s="36" t="s">
        <v>45</v>
      </c>
      <c r="D10" s="27" t="s">
        <v>63</v>
      </c>
    </row>
    <row r="11" spans="1:28" ht="26.25" customHeight="1" x14ac:dyDescent="0.2">
      <c r="A11" s="55" t="s">
        <v>64</v>
      </c>
      <c r="B11" s="56"/>
      <c r="C11" s="56"/>
      <c r="D11" s="27"/>
    </row>
    <row r="12" spans="1:28" ht="21" customHeight="1" x14ac:dyDescent="0.2">
      <c r="A12" s="49">
        <v>2</v>
      </c>
      <c r="B12" s="52" t="s">
        <v>29</v>
      </c>
      <c r="C12" s="36" t="s">
        <v>65</v>
      </c>
      <c r="D12" s="27" t="s">
        <v>35</v>
      </c>
      <c r="E12" s="57"/>
      <c r="F12" s="7"/>
      <c r="G12" s="14">
        <v>3</v>
      </c>
      <c r="H12" s="14">
        <v>2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>
        <v>3</v>
      </c>
      <c r="T12" s="21">
        <v>2</v>
      </c>
      <c r="U12" s="21"/>
      <c r="V12" s="21"/>
      <c r="W12" s="21"/>
      <c r="X12" s="22"/>
      <c r="Y12" s="21"/>
      <c r="Z12" s="22"/>
      <c r="AA12" s="21"/>
      <c r="AB12" s="21"/>
    </row>
    <row r="13" spans="1:28" ht="26" x14ac:dyDescent="0.2">
      <c r="A13" s="50"/>
      <c r="B13" s="53"/>
      <c r="C13" s="36" t="s">
        <v>50</v>
      </c>
      <c r="D13" s="27" t="s">
        <v>75</v>
      </c>
      <c r="E13" s="58"/>
      <c r="F13" s="7"/>
      <c r="G13" s="14">
        <v>3</v>
      </c>
      <c r="H13" s="14">
        <v>2</v>
      </c>
      <c r="I13" s="21"/>
      <c r="J13" s="21"/>
      <c r="K13" s="21">
        <v>1</v>
      </c>
      <c r="L13" s="21"/>
      <c r="M13" s="21"/>
      <c r="N13" s="21"/>
      <c r="O13" s="21"/>
      <c r="P13" s="21"/>
      <c r="Q13" s="21"/>
      <c r="R13" s="21"/>
      <c r="S13" s="22"/>
      <c r="T13" s="21"/>
      <c r="U13" s="21"/>
      <c r="V13" s="21"/>
      <c r="W13" s="21"/>
      <c r="X13" s="22"/>
      <c r="Y13" s="21">
        <v>2</v>
      </c>
      <c r="Z13" s="21">
        <v>2</v>
      </c>
      <c r="AA13" s="21"/>
      <c r="AB13" s="21"/>
    </row>
    <row r="14" spans="1:28" ht="26" x14ac:dyDescent="0.2">
      <c r="A14" s="50"/>
      <c r="B14" s="53"/>
      <c r="C14" s="36" t="s">
        <v>66</v>
      </c>
      <c r="D14" s="27" t="s">
        <v>35</v>
      </c>
      <c r="E14" s="58"/>
      <c r="F14" s="7"/>
      <c r="G14" s="14">
        <v>3</v>
      </c>
      <c r="H14" s="14">
        <v>2</v>
      </c>
      <c r="I14" s="21"/>
      <c r="J14" s="21"/>
      <c r="K14" s="21"/>
      <c r="L14" s="21"/>
      <c r="M14" s="21"/>
      <c r="N14" s="21"/>
      <c r="Q14" s="21"/>
      <c r="R14" s="21"/>
      <c r="S14" s="22"/>
      <c r="T14" s="21"/>
      <c r="U14" s="21"/>
      <c r="V14" s="21"/>
      <c r="W14" s="21">
        <v>3</v>
      </c>
      <c r="X14" s="21">
        <v>2</v>
      </c>
      <c r="Y14" s="21"/>
      <c r="Z14" s="22"/>
      <c r="AA14" s="21"/>
      <c r="AB14" s="21"/>
    </row>
    <row r="15" spans="1:28" ht="26" x14ac:dyDescent="0.2">
      <c r="A15" s="50"/>
      <c r="B15" s="53"/>
      <c r="C15" s="36" t="s">
        <v>67</v>
      </c>
      <c r="D15" s="27" t="s">
        <v>42</v>
      </c>
      <c r="E15" s="58"/>
      <c r="F15" s="7"/>
      <c r="G15" s="14">
        <v>3</v>
      </c>
      <c r="H15" s="14">
        <v>2</v>
      </c>
      <c r="I15" s="21">
        <v>3</v>
      </c>
      <c r="J15" s="21">
        <v>2</v>
      </c>
      <c r="K15" s="21"/>
      <c r="L15" s="21"/>
      <c r="M15" s="21"/>
      <c r="N15" s="21"/>
      <c r="O15" s="21"/>
      <c r="P15" s="21"/>
      <c r="Q15" s="21"/>
      <c r="R15" s="21"/>
      <c r="S15" s="22"/>
      <c r="T15" s="21"/>
      <c r="U15" s="21"/>
      <c r="V15" s="21"/>
      <c r="W15" s="21"/>
      <c r="X15" s="22"/>
      <c r="Y15" s="21"/>
      <c r="Z15" s="22"/>
      <c r="AA15" s="21"/>
      <c r="AB15" s="21"/>
    </row>
    <row r="16" spans="1:28" ht="26" x14ac:dyDescent="0.2">
      <c r="A16" s="50"/>
      <c r="B16" s="53"/>
      <c r="C16" s="36" t="s">
        <v>68</v>
      </c>
      <c r="D16" s="27" t="s">
        <v>38</v>
      </c>
      <c r="E16" s="59"/>
      <c r="F16" s="7"/>
      <c r="G16" s="14">
        <v>2</v>
      </c>
      <c r="H16" s="14">
        <v>2</v>
      </c>
      <c r="I16" s="21"/>
      <c r="J16" s="21"/>
      <c r="K16" s="21"/>
      <c r="L16" s="21"/>
      <c r="M16" s="21">
        <v>2</v>
      </c>
      <c r="N16" s="21">
        <v>2</v>
      </c>
      <c r="O16" s="21"/>
      <c r="P16" s="21"/>
      <c r="Q16" s="21"/>
      <c r="R16" s="21"/>
      <c r="S16" s="22"/>
      <c r="T16" s="21"/>
      <c r="U16" s="21"/>
      <c r="V16" s="21"/>
      <c r="W16" s="21"/>
      <c r="X16" s="22"/>
      <c r="Y16" s="21"/>
      <c r="Z16" s="22"/>
      <c r="AA16" s="21"/>
      <c r="AB16" s="21"/>
    </row>
    <row r="17" spans="1:28" ht="26" x14ac:dyDescent="0.2">
      <c r="A17" s="51"/>
      <c r="B17" s="54"/>
      <c r="C17" s="36" t="s">
        <v>69</v>
      </c>
      <c r="D17" s="27" t="s">
        <v>76</v>
      </c>
      <c r="E17" s="29"/>
      <c r="F17" s="7"/>
      <c r="G17" s="14"/>
      <c r="H17" s="14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1"/>
      <c r="U17" s="21"/>
      <c r="V17" s="21"/>
      <c r="W17" s="21"/>
      <c r="X17" s="22"/>
      <c r="Y17" s="21"/>
      <c r="Z17" s="22"/>
      <c r="AA17" s="21"/>
      <c r="AB17" s="21"/>
    </row>
    <row r="18" spans="1:28" ht="26" x14ac:dyDescent="0.2">
      <c r="A18" s="55" t="s">
        <v>26</v>
      </c>
      <c r="B18" s="56"/>
      <c r="C18" s="56"/>
      <c r="D18" s="56"/>
      <c r="E18" s="13"/>
      <c r="F18" s="7"/>
      <c r="G18" s="14">
        <f>SUM(G12:G16)</f>
        <v>14</v>
      </c>
      <c r="H18" s="14">
        <f>SUM(H12:H16)</f>
        <v>10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14"/>
      <c r="U18" s="14"/>
      <c r="V18" s="14"/>
      <c r="W18" s="14"/>
      <c r="X18" s="15"/>
      <c r="Y18" s="14"/>
      <c r="Z18" s="15"/>
      <c r="AA18" s="14"/>
      <c r="AB18" s="14"/>
    </row>
    <row r="19" spans="1:28" ht="26.25" customHeight="1" x14ac:dyDescent="0.2">
      <c r="A19" s="49">
        <v>3</v>
      </c>
      <c r="B19" s="52" t="s">
        <v>79</v>
      </c>
      <c r="C19" s="36" t="s">
        <v>70</v>
      </c>
      <c r="D19" s="27" t="s">
        <v>77</v>
      </c>
      <c r="E19" s="57"/>
      <c r="F19" s="7"/>
      <c r="G19" s="14">
        <v>4</v>
      </c>
      <c r="H19" s="14">
        <v>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4"/>
      <c r="Y19" s="23"/>
      <c r="Z19" s="24"/>
      <c r="AA19" s="23">
        <v>4</v>
      </c>
      <c r="AB19" s="23">
        <v>2</v>
      </c>
    </row>
    <row r="20" spans="1:28" ht="26" x14ac:dyDescent="0.2">
      <c r="A20" s="50"/>
      <c r="B20" s="53"/>
      <c r="C20" s="36" t="s">
        <v>71</v>
      </c>
      <c r="D20" s="27" t="s">
        <v>35</v>
      </c>
      <c r="E20" s="58"/>
      <c r="F20" s="7"/>
      <c r="G20" s="14">
        <v>4</v>
      </c>
      <c r="H20" s="14">
        <v>2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  <c r="T20" s="23"/>
      <c r="U20" s="23"/>
      <c r="V20" s="23"/>
      <c r="W20" s="23"/>
      <c r="X20" s="24"/>
      <c r="Y20" s="23">
        <v>4</v>
      </c>
      <c r="Z20" s="24">
        <v>2</v>
      </c>
      <c r="AA20" s="23"/>
      <c r="AB20" s="23"/>
    </row>
    <row r="21" spans="1:28" ht="26" x14ac:dyDescent="0.2">
      <c r="A21" s="50"/>
      <c r="B21" s="53"/>
      <c r="C21" s="36" t="s">
        <v>72</v>
      </c>
      <c r="D21" s="27" t="s">
        <v>39</v>
      </c>
      <c r="E21" s="58"/>
      <c r="F21" s="7"/>
      <c r="G21" s="14"/>
      <c r="H21" s="1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3"/>
      <c r="U21" s="23"/>
      <c r="V21" s="23"/>
      <c r="W21" s="23"/>
      <c r="X21" s="24"/>
      <c r="Y21" s="23"/>
      <c r="Z21" s="24"/>
      <c r="AA21" s="23"/>
      <c r="AB21" s="23"/>
    </row>
    <row r="22" spans="1:28" ht="26" x14ac:dyDescent="0.2">
      <c r="A22" s="50"/>
      <c r="B22" s="53"/>
      <c r="C22" s="36" t="s">
        <v>73</v>
      </c>
      <c r="D22" s="27" t="s">
        <v>42</v>
      </c>
      <c r="E22" s="58"/>
      <c r="F22" s="7"/>
      <c r="G22" s="14">
        <v>4</v>
      </c>
      <c r="H22" s="14">
        <v>2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23"/>
      <c r="U22" s="23"/>
      <c r="V22" s="23"/>
      <c r="W22" s="23">
        <v>4</v>
      </c>
      <c r="X22" s="24">
        <v>2</v>
      </c>
      <c r="Y22" s="23"/>
      <c r="Z22" s="24"/>
      <c r="AA22" s="23"/>
      <c r="AB22" s="23"/>
    </row>
    <row r="23" spans="1:28" ht="26" x14ac:dyDescent="0.2">
      <c r="A23" s="50"/>
      <c r="B23" s="53"/>
      <c r="C23" s="36" t="s">
        <v>74</v>
      </c>
      <c r="D23" s="27" t="s">
        <v>42</v>
      </c>
      <c r="E23" s="58"/>
      <c r="F23" s="7"/>
      <c r="G23" s="14">
        <v>0</v>
      </c>
      <c r="H23" s="14">
        <v>2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  <c r="T23" s="23">
        <v>2</v>
      </c>
      <c r="U23" s="23"/>
      <c r="V23" s="23"/>
      <c r="W23" s="23"/>
      <c r="X23" s="24"/>
      <c r="Y23" s="23"/>
      <c r="Z23" s="24"/>
      <c r="AA23" s="23"/>
      <c r="AB23" s="23"/>
    </row>
    <row r="24" spans="1:28" ht="26" x14ac:dyDescent="0.2">
      <c r="A24" s="50"/>
      <c r="B24" s="53"/>
      <c r="C24" s="36" t="s">
        <v>78</v>
      </c>
      <c r="D24" s="27" t="s">
        <v>41</v>
      </c>
      <c r="E24" s="58"/>
      <c r="F24" s="7"/>
      <c r="G24" s="14">
        <v>4</v>
      </c>
      <c r="H24" s="14">
        <v>2</v>
      </c>
      <c r="I24" s="23"/>
      <c r="J24" s="23"/>
      <c r="K24" s="23"/>
      <c r="L24" s="23"/>
      <c r="M24" s="26"/>
      <c r="N24" s="26"/>
      <c r="O24" s="23"/>
      <c r="P24" s="23"/>
      <c r="Q24" s="23"/>
      <c r="R24" s="23"/>
      <c r="S24" s="24"/>
      <c r="T24" s="23"/>
      <c r="U24" s="23">
        <v>4</v>
      </c>
      <c r="V24" s="23">
        <v>2</v>
      </c>
      <c r="W24" s="23"/>
      <c r="X24" s="24"/>
      <c r="Y24" s="23"/>
      <c r="Z24" s="24"/>
      <c r="AA24" s="23"/>
      <c r="AB24" s="23"/>
    </row>
    <row r="25" spans="1:28" ht="26" x14ac:dyDescent="0.2">
      <c r="A25" s="60"/>
      <c r="B25" s="61"/>
      <c r="C25" s="61"/>
      <c r="D25" s="61"/>
      <c r="E25" s="59"/>
      <c r="F25" s="7"/>
      <c r="G25" s="14">
        <f>SUM(G19:G24)</f>
        <v>16</v>
      </c>
      <c r="H25" s="14">
        <f>SUM(H19:H24)</f>
        <v>10</v>
      </c>
      <c r="I25" s="20">
        <f t="shared" ref="I25:AB25" si="0">SUM(I8:I24)</f>
        <v>3</v>
      </c>
      <c r="J25" s="19">
        <f t="shared" si="0"/>
        <v>2</v>
      </c>
      <c r="K25" s="20">
        <f t="shared" si="0"/>
        <v>1</v>
      </c>
      <c r="L25" s="19">
        <f t="shared" si="0"/>
        <v>0</v>
      </c>
      <c r="M25" s="20">
        <f t="shared" si="0"/>
        <v>2</v>
      </c>
      <c r="N25" s="19">
        <f t="shared" si="0"/>
        <v>2</v>
      </c>
      <c r="O25" s="20">
        <f t="shared" si="0"/>
        <v>0</v>
      </c>
      <c r="P25" s="19">
        <f t="shared" si="0"/>
        <v>0</v>
      </c>
      <c r="Q25" s="20">
        <f t="shared" si="0"/>
        <v>0</v>
      </c>
      <c r="R25" s="19">
        <f t="shared" si="0"/>
        <v>0</v>
      </c>
      <c r="S25" s="20">
        <f t="shared" si="0"/>
        <v>3</v>
      </c>
      <c r="T25" s="19">
        <f t="shared" si="0"/>
        <v>4</v>
      </c>
      <c r="U25" s="20">
        <f t="shared" si="0"/>
        <v>4</v>
      </c>
      <c r="V25" s="19">
        <f t="shared" si="0"/>
        <v>2</v>
      </c>
      <c r="W25" s="20">
        <f t="shared" si="0"/>
        <v>7</v>
      </c>
      <c r="X25" s="19">
        <f t="shared" si="0"/>
        <v>4</v>
      </c>
      <c r="Y25" s="20">
        <f t="shared" si="0"/>
        <v>6</v>
      </c>
      <c r="Z25" s="19">
        <f t="shared" si="0"/>
        <v>4</v>
      </c>
      <c r="AA25" s="20">
        <f t="shared" si="0"/>
        <v>4</v>
      </c>
      <c r="AB25" s="19">
        <f t="shared" si="0"/>
        <v>2</v>
      </c>
    </row>
    <row r="26" spans="1:28" x14ac:dyDescent="0.2">
      <c r="A26" s="3"/>
      <c r="B26" s="4"/>
      <c r="C26" s="4"/>
    </row>
    <row r="27" spans="1:28" x14ac:dyDescent="0.2">
      <c r="A27" s="5"/>
    </row>
    <row r="28" spans="1:28" ht="15" customHeight="1" x14ac:dyDescent="0.2">
      <c r="A28" s="4"/>
      <c r="B28" s="3"/>
      <c r="C28" s="3"/>
    </row>
    <row r="29" spans="1:28" ht="15" customHeight="1" x14ac:dyDescent="0.2">
      <c r="A29" s="3"/>
      <c r="B29" s="3"/>
      <c r="C29" s="3"/>
    </row>
  </sheetData>
  <mergeCells count="18">
    <mergeCell ref="E12:E16"/>
    <mergeCell ref="A18:D18"/>
    <mergeCell ref="A19:A24"/>
    <mergeCell ref="B19:B24"/>
    <mergeCell ref="E19:E25"/>
    <mergeCell ref="A25:D25"/>
    <mergeCell ref="A7:A10"/>
    <mergeCell ref="A12:A17"/>
    <mergeCell ref="B12:B17"/>
    <mergeCell ref="B7:B10"/>
    <mergeCell ref="A11:C11"/>
    <mergeCell ref="D4:D5"/>
    <mergeCell ref="A1:C1"/>
    <mergeCell ref="A2:C2"/>
    <mergeCell ref="A3:C3"/>
    <mergeCell ref="A4:A5"/>
    <mergeCell ref="B4:B5"/>
    <mergeCell ref="C4:C5"/>
  </mergeCells>
  <pageMargins left="0.34" right="0.26" top="7.0000000000000007E-2" bottom="0.08" header="0.1" footer="0.15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EC_EVEN</vt:lpstr>
      <vt:lpstr>EC_ODD</vt:lpstr>
      <vt:lpstr>ICT_EVEN</vt:lpstr>
      <vt:lpstr>ICT_ODD</vt:lpstr>
      <vt:lpstr>EC_EVEN!Print_Area</vt:lpstr>
      <vt:lpstr>EC_ODD!Print_Area</vt:lpstr>
      <vt:lpstr>ICT_EVEN!Print_Area</vt:lpstr>
      <vt:lpstr>ICT_ODD!Print_Area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Chauhan</dc:creator>
  <cp:lastModifiedBy>Milav Dabgar</cp:lastModifiedBy>
  <cp:lastPrinted>2023-09-15T06:00:34Z</cp:lastPrinted>
  <dcterms:created xsi:type="dcterms:W3CDTF">2006-09-15T02:00:00Z</dcterms:created>
  <dcterms:modified xsi:type="dcterms:W3CDTF">2026-04-28T05:18:26Z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1033-10.1.0.5785</vt:lpwstr>
  </property>
</Properties>
</file>